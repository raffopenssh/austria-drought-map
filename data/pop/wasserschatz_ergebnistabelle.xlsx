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fileSharing readOnlyRecommended="1" userName="Lindinger Helga" reservationPassword="8653"/>
  <workbookPr/>
  <mc:AlternateContent xmlns:mc="http://schemas.openxmlformats.org/markup-compatibility/2006">
    <mc:Choice Requires="x15">
      <x15ac:absPath xmlns:x15ac="http://schemas.microsoft.com/office/spreadsheetml/2010/11/ac" url="Z:\20000\20374_Grundwasser_2050\Intern\5_Endergebnis\Ergebnistabellen\"/>
    </mc:Choice>
  </mc:AlternateContent>
  <bookViews>
    <workbookView xWindow="0" yWindow="0" windowWidth="20490" windowHeight="7320" activeTab="3"/>
  </bookViews>
  <sheets>
    <sheet name="1- Erläuterungen" sheetId="4" r:id="rId1"/>
    <sheet name="2- Szenarienregionen" sheetId="8" r:id="rId2"/>
    <sheet name="3 - Szenarienergebnisse" sheetId="3" r:id="rId3"/>
    <sheet name="4 - GWK_Ressourcen" sheetId="6" r:id="rId4"/>
    <sheet name="5 - GWK_Wasserbedarf" sheetId="1" r:id="rId5"/>
  </sheets>
  <definedNames>
    <definedName name="_xlnm._FilterDatabase" localSheetId="1" hidden="1">'2- Szenarienregionen'!$A$5:$D$94</definedName>
    <definedName name="_xlnm._FilterDatabase" localSheetId="2" hidden="1">'3 - Szenarienergebnisse'!$A$7:$AR$97</definedName>
    <definedName name="_xlnm._FilterDatabase" localSheetId="3" hidden="1">'4 - GWK_Ressourcen'!$A$5:$M$135</definedName>
    <definedName name="_xlnm._FilterDatabase" localSheetId="4" hidden="1">'5 - GWK_Wasserbedarf'!$A$6:$Q$136</definedName>
    <definedName name="_xlnm.Database" localSheetId="1">#REF!</definedName>
    <definedName name="_xlnm.Database">#REF!</definedName>
    <definedName name="Datenbank2" localSheetId="1">#REF!</definedName>
    <definedName name="Datenbank2">#REF!</definedName>
    <definedName name="_xlnm.Print_Area" localSheetId="0">'1- Erläuterungen'!$A$1:$B$28</definedName>
    <definedName name="GWK" localSheetId="1">#REF!</definedName>
    <definedName name="GWK">#REF!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H4" i="3" l="1"/>
  <c r="AI4" i="3"/>
  <c r="AJ4" i="3"/>
  <c r="AK4" i="3"/>
  <c r="AL4" i="3"/>
  <c r="AN4" i="3"/>
  <c r="AO4" i="3"/>
  <c r="AP4" i="3"/>
  <c r="AQ4" i="3"/>
  <c r="AR4" i="3"/>
  <c r="AH5" i="3"/>
  <c r="AI5" i="3"/>
  <c r="AJ5" i="3"/>
  <c r="AK5" i="3"/>
  <c r="AL5" i="3"/>
  <c r="AN5" i="3"/>
  <c r="AO5" i="3"/>
  <c r="AP5" i="3"/>
  <c r="AQ5" i="3"/>
  <c r="AR5" i="3"/>
  <c r="AG5" i="3"/>
  <c r="AG4" i="3"/>
  <c r="T4" i="3"/>
  <c r="U4" i="3"/>
  <c r="V4" i="3"/>
  <c r="W4" i="3"/>
  <c r="X4" i="3"/>
  <c r="Z4" i="3"/>
  <c r="AA4" i="3"/>
  <c r="AB4" i="3"/>
  <c r="AC4" i="3"/>
  <c r="AD4" i="3"/>
  <c r="T5" i="3"/>
  <c r="U5" i="3"/>
  <c r="V5" i="3"/>
  <c r="W5" i="3"/>
  <c r="X5" i="3"/>
  <c r="Z5" i="3"/>
  <c r="AA5" i="3"/>
  <c r="AB5" i="3"/>
  <c r="AC5" i="3"/>
  <c r="AD5" i="3"/>
  <c r="S5" i="3"/>
  <c r="S4" i="3"/>
  <c r="F4" i="3"/>
  <c r="G4" i="3"/>
  <c r="H4" i="3"/>
  <c r="I4" i="3"/>
  <c r="J4" i="3"/>
  <c r="L4" i="3"/>
  <c r="M4" i="3"/>
  <c r="N4" i="3"/>
  <c r="O4" i="3"/>
  <c r="P4" i="3"/>
  <c r="F5" i="3"/>
  <c r="G5" i="3"/>
  <c r="H5" i="3"/>
  <c r="I5" i="3"/>
  <c r="J5" i="3"/>
  <c r="L5" i="3"/>
  <c r="M5" i="3"/>
  <c r="N5" i="3"/>
  <c r="O5" i="3"/>
  <c r="P5" i="3"/>
  <c r="E4" i="3"/>
  <c r="E5" i="3"/>
  <c r="D4" i="8"/>
  <c r="D3" i="8"/>
  <c r="E3" i="1"/>
  <c r="F3" i="1"/>
  <c r="G3" i="1"/>
  <c r="H3" i="1"/>
  <c r="I3" i="1"/>
  <c r="J3" i="1"/>
  <c r="L3" i="1"/>
  <c r="M3" i="1"/>
  <c r="N3" i="1"/>
  <c r="O3" i="1"/>
  <c r="P3" i="1"/>
  <c r="Q3" i="1"/>
  <c r="E4" i="1"/>
  <c r="F4" i="1"/>
  <c r="G4" i="1"/>
  <c r="H4" i="1"/>
  <c r="I4" i="1"/>
  <c r="J4" i="1"/>
  <c r="L4" i="1"/>
  <c r="M4" i="1"/>
  <c r="N4" i="1"/>
  <c r="O4" i="1"/>
  <c r="P4" i="1"/>
  <c r="Q4" i="1"/>
  <c r="D4" i="1"/>
  <c r="F4" i="6"/>
  <c r="G4" i="6"/>
  <c r="H4" i="6"/>
  <c r="I4" i="6"/>
  <c r="J4" i="6"/>
  <c r="K4" i="6"/>
  <c r="L4" i="6"/>
  <c r="E4" i="6"/>
  <c r="L3" i="6" l="1"/>
  <c r="G3" i="6" l="1"/>
  <c r="H3" i="6"/>
  <c r="I3" i="6"/>
  <c r="J3" i="6"/>
  <c r="K3" i="6"/>
  <c r="F3" i="6"/>
  <c r="D3" i="1"/>
</calcChain>
</file>

<file path=xl/sharedStrings.xml><?xml version="1.0" encoding="utf-8"?>
<sst xmlns="http://schemas.openxmlformats.org/spreadsheetml/2006/main" count="1621" uniqueCount="459">
  <si>
    <t>Brunnenentnahmen</t>
  </si>
  <si>
    <t>Quellnutzung</t>
  </si>
  <si>
    <t>GWK Nummer</t>
  </si>
  <si>
    <t>GWK Name</t>
  </si>
  <si>
    <t>Gruppe/Einzel GWK</t>
  </si>
  <si>
    <t>GK100001</t>
  </si>
  <si>
    <t>Großache [DBJ]</t>
  </si>
  <si>
    <t>GK100002</t>
  </si>
  <si>
    <t>Inntal [DBJ]</t>
  </si>
  <si>
    <t>GK100004</t>
  </si>
  <si>
    <t>Lechtal [DBJ]</t>
  </si>
  <si>
    <t>GK100005</t>
  </si>
  <si>
    <t>Pinzgauer Saalachtal [DBJ]</t>
  </si>
  <si>
    <t>GK100006</t>
  </si>
  <si>
    <t>Unteres Salzachtal [DBJ]</t>
  </si>
  <si>
    <t>GK100008</t>
  </si>
  <si>
    <t>Helvetikum [DBJ]</t>
  </si>
  <si>
    <t>GWK-Gruppe</t>
  </si>
  <si>
    <t>GK100009</t>
  </si>
  <si>
    <t>Nördliche Kalkalpen [DBJ]</t>
  </si>
  <si>
    <t>GK100010</t>
  </si>
  <si>
    <t>Zentralzone [DBJ]</t>
  </si>
  <si>
    <t>GK100011</t>
  </si>
  <si>
    <t>Böhmische Masse [DBJ]</t>
  </si>
  <si>
    <t>GK100012</t>
  </si>
  <si>
    <t>Oberinnviertler Seenplatte [DBJ]</t>
  </si>
  <si>
    <t>GK100013</t>
  </si>
  <si>
    <t>Salzach - Inn - Mattig [DBJ]</t>
  </si>
  <si>
    <t>GK100014</t>
  </si>
  <si>
    <t>Salzburger Alpenvorland [DBJ]</t>
  </si>
  <si>
    <t>GK100015</t>
  </si>
  <si>
    <t>Schlierhügelland [DBJ]</t>
  </si>
  <si>
    <t>GK100016</t>
  </si>
  <si>
    <t>Südliche Flyschzone [DBJ]</t>
  </si>
  <si>
    <t>GK100017</t>
  </si>
  <si>
    <t>Erlauftal / Pöchlarner Feld [DUJ]</t>
  </si>
  <si>
    <t>GK100018</t>
  </si>
  <si>
    <t>Heideboden [DUJ]</t>
  </si>
  <si>
    <t>GK100019</t>
  </si>
  <si>
    <t>Machland [DUJ]</t>
  </si>
  <si>
    <t>GK100020</t>
  </si>
  <si>
    <t>Marchfeld [DUJ]</t>
  </si>
  <si>
    <t>GK100021</t>
  </si>
  <si>
    <t>Parndorfer Platte [LRR]</t>
  </si>
  <si>
    <t>GK100022</t>
  </si>
  <si>
    <t>Pielachtal [DUJ]</t>
  </si>
  <si>
    <t>GK100023</t>
  </si>
  <si>
    <t>Südl. Machland [DUJ]</t>
  </si>
  <si>
    <t>GK100024</t>
  </si>
  <si>
    <t>Südl. Wiener Becken [DUJ]</t>
  </si>
  <si>
    <t>GK100025</t>
  </si>
  <si>
    <t>Traisental [DUJ]</t>
  </si>
  <si>
    <t>GK100026</t>
  </si>
  <si>
    <t>Tullnerfeld [DUJ]</t>
  </si>
  <si>
    <t>GK100027</t>
  </si>
  <si>
    <t>Unteres Ennstal (NÖ, OÖ) [DUJ]</t>
  </si>
  <si>
    <t>GK100028</t>
  </si>
  <si>
    <t>Ybbstal / Ybbser Scheibe [DUJ]</t>
  </si>
  <si>
    <t>GK100032</t>
  </si>
  <si>
    <t>NÖ Alpenvorland [DUJ]</t>
  </si>
  <si>
    <t>GK100035</t>
  </si>
  <si>
    <t>Weinviertel [DUJ]</t>
  </si>
  <si>
    <t>GK100036</t>
  </si>
  <si>
    <t>Eferdinger Becken [DUJ]</t>
  </si>
  <si>
    <t>GK100037</t>
  </si>
  <si>
    <t>Liesing [MUR]</t>
  </si>
  <si>
    <t>GK100038</t>
  </si>
  <si>
    <t>Linzer Becken [DUJ]</t>
  </si>
  <si>
    <t>GK100039</t>
  </si>
  <si>
    <t>Mittleres Ennstal (Trautenfels bis Gesäuse) [DUJ]</t>
  </si>
  <si>
    <t>GK100040</t>
  </si>
  <si>
    <t>Oberes Ennstal (Landesgrenze bis Trautenfels) [DUJ]</t>
  </si>
  <si>
    <t>GK100041</t>
  </si>
  <si>
    <t>Palten [DUJ]</t>
  </si>
  <si>
    <t>GK100042</t>
  </si>
  <si>
    <t>Traun [DUJ]</t>
  </si>
  <si>
    <t>GK100043</t>
  </si>
  <si>
    <t>Unteres Ennstal (Stmk) [DUJ]</t>
  </si>
  <si>
    <t>GK100044</t>
  </si>
  <si>
    <t>Vöckla - Ager - Traun - Alm [DUJ]</t>
  </si>
  <si>
    <t>GK100045</t>
  </si>
  <si>
    <t>Welser Heide [DUJ]</t>
  </si>
  <si>
    <t>GK100047</t>
  </si>
  <si>
    <t>Grauwackenzone Mitte [DUJ]</t>
  </si>
  <si>
    <t>GK100052</t>
  </si>
  <si>
    <t>Niedere Tauern einschl. Grauwackenzone [DUJ]</t>
  </si>
  <si>
    <t>GK100054</t>
  </si>
  <si>
    <t>Salzburger Alpenvorland [DUJ]</t>
  </si>
  <si>
    <t>GK100055</t>
  </si>
  <si>
    <t>Salzburger Hohe Tauern [DUJ]</t>
  </si>
  <si>
    <t>GK100056</t>
  </si>
  <si>
    <t>Schlierhügelland [DUJ]</t>
  </si>
  <si>
    <t>GK100057</t>
  </si>
  <si>
    <t>Traun - Enns - Platte [DUJ]</t>
  </si>
  <si>
    <t>GK100058</t>
  </si>
  <si>
    <t>Altes Gurktal [DRA]</t>
  </si>
  <si>
    <t>GK100059</t>
  </si>
  <si>
    <t>Drautal [DRA]</t>
  </si>
  <si>
    <t>GK100060</t>
  </si>
  <si>
    <t>Gailtal [DRA]</t>
  </si>
  <si>
    <t>GK100061</t>
  </si>
  <si>
    <t>Glantal [DRA]</t>
  </si>
  <si>
    <t>GK100062</t>
  </si>
  <si>
    <t>Jauntal [DRA]</t>
  </si>
  <si>
    <t>GK100063</t>
  </si>
  <si>
    <t>Klagenfurter Becken [DRA]</t>
  </si>
  <si>
    <t>GK100064</t>
  </si>
  <si>
    <t>Krappfeld [DRA]</t>
  </si>
  <si>
    <t>GK100065</t>
  </si>
  <si>
    <t>Lavanttal [DRA]</t>
  </si>
  <si>
    <t>GK100066</t>
  </si>
  <si>
    <t>Metnitztal [DRA]</t>
  </si>
  <si>
    <t>GK100067</t>
  </si>
  <si>
    <t>Rosental [DRA]</t>
  </si>
  <si>
    <t>GK100068</t>
  </si>
  <si>
    <t>Tiebel [DRA]</t>
  </si>
  <si>
    <t>GK100069</t>
  </si>
  <si>
    <t>Unteres Gurktal [DRA]</t>
  </si>
  <si>
    <t>GK100071</t>
  </si>
  <si>
    <t>Grebenzen [DRA]</t>
  </si>
  <si>
    <t>GK100075</t>
  </si>
  <si>
    <t>Sattnitz [DRA]</t>
  </si>
  <si>
    <t>GK100077</t>
  </si>
  <si>
    <t>Südliche Kalkalpen [DRA]</t>
  </si>
  <si>
    <t>GK100078</t>
  </si>
  <si>
    <t>Weststeirisches Hügelland [DRA]</t>
  </si>
  <si>
    <t>GK100079</t>
  </si>
  <si>
    <t>Böhmische Masse [ELB]</t>
  </si>
  <si>
    <t>GK100081</t>
  </si>
  <si>
    <t>Wulkatal [LRR]</t>
  </si>
  <si>
    <t>GK100083</t>
  </si>
  <si>
    <t>Grauwackenzone [LRR]</t>
  </si>
  <si>
    <t>GK100089</t>
  </si>
  <si>
    <t>Nördliche Kalkalpen [LRR]</t>
  </si>
  <si>
    <t>GK100093</t>
  </si>
  <si>
    <t>Semmering [LRR]</t>
  </si>
  <si>
    <t>GK100094</t>
  </si>
  <si>
    <t>Böhmische Masse [MAR]</t>
  </si>
  <si>
    <t>GK100095</t>
  </si>
  <si>
    <t>Weinviertel [MAR]</t>
  </si>
  <si>
    <t>GK100096</t>
  </si>
  <si>
    <t>Aichfeld-Murboden (Judenburg - Knittelfeld) [MUR]</t>
  </si>
  <si>
    <t>GK100097</t>
  </si>
  <si>
    <t>Grazer Feld (Graz/Andritz - Wildon) [MUR]</t>
  </si>
  <si>
    <t>GK100098</t>
  </si>
  <si>
    <t>Leibnitzer Feld [MUR]</t>
  </si>
  <si>
    <t>GK100099</t>
  </si>
  <si>
    <t>Mittl. Murtal Knittelfeld bis Bruck/Mur [MUR]</t>
  </si>
  <si>
    <t>GK100100</t>
  </si>
  <si>
    <t>Murdurchbruchstal (Bruck/Mur - Graz/Andritz) [MUR]</t>
  </si>
  <si>
    <t>GK100101</t>
  </si>
  <si>
    <t>Oberes Murtal [MUR]</t>
  </si>
  <si>
    <t>GK100102</t>
  </si>
  <si>
    <t>Unteres Murtal [MUR]</t>
  </si>
  <si>
    <t>GK100103</t>
  </si>
  <si>
    <t>Kainach [MUR]</t>
  </si>
  <si>
    <t>GK100104</t>
  </si>
  <si>
    <t>Lassnitz, Stainzbach [MUR]</t>
  </si>
  <si>
    <t>GK100107</t>
  </si>
  <si>
    <t>Fischbacher Alpen [MUR]</t>
  </si>
  <si>
    <t>GK100108</t>
  </si>
  <si>
    <t>Grauwackenzone Mitte [MUR]</t>
  </si>
  <si>
    <t>GK100109</t>
  </si>
  <si>
    <t>Grazer Bergland östlich der Mur [MUR]</t>
  </si>
  <si>
    <t>GK100110</t>
  </si>
  <si>
    <t>Grazer Bergland westlich der Mur [MUR]</t>
  </si>
  <si>
    <t>GK100113</t>
  </si>
  <si>
    <t>Kristallin der Koralpe, Stubalpe und Gleinalpe [MUR]</t>
  </si>
  <si>
    <t>GK100114</t>
  </si>
  <si>
    <t>Kristallin nördlich des Mürztales einschl. Grauwackenzone [MUR]</t>
  </si>
  <si>
    <t>GK100116</t>
  </si>
  <si>
    <t>Niedere Tauern einschl. Seckauer Tauern [MUR]</t>
  </si>
  <si>
    <t>GK100117</t>
  </si>
  <si>
    <t>Nördliche Kalkalpen [MUR]</t>
  </si>
  <si>
    <t>GK100120</t>
  </si>
  <si>
    <t>Seetaler Alpen Nord [MUR]</t>
  </si>
  <si>
    <t>GK100123</t>
  </si>
  <si>
    <t>Weststeirisches Hügelland [MUR]</t>
  </si>
  <si>
    <t>GK100126</t>
  </si>
  <si>
    <t>Feistritztal [LRR]</t>
  </si>
  <si>
    <t>GK100127</t>
  </si>
  <si>
    <t>Günstal [LRR]</t>
  </si>
  <si>
    <t>GK100128</t>
  </si>
  <si>
    <t>Ikvatal [LRR]</t>
  </si>
  <si>
    <t>GK100129</t>
  </si>
  <si>
    <t>Lafnitztal [LRR]</t>
  </si>
  <si>
    <t>GK100130</t>
  </si>
  <si>
    <t>Pinkatal [LRR]</t>
  </si>
  <si>
    <t>GK100131</t>
  </si>
  <si>
    <t>Raabtal [LRR]</t>
  </si>
  <si>
    <t>GK100132</t>
  </si>
  <si>
    <t>Rabnitztal [LRR]</t>
  </si>
  <si>
    <t>GK100133</t>
  </si>
  <si>
    <t>Safental [LRR]</t>
  </si>
  <si>
    <t>GK100134</t>
  </si>
  <si>
    <t>Seewinkel [LRR]</t>
  </si>
  <si>
    <t>GK100135</t>
  </si>
  <si>
    <t>Stooberbachtal [LRR]</t>
  </si>
  <si>
    <t>GK100136</t>
  </si>
  <si>
    <t>Stremtal [LRR]</t>
  </si>
  <si>
    <t>GK100137</t>
  </si>
  <si>
    <t>Fischbacher Alpen [LRR]</t>
  </si>
  <si>
    <t>GK100138</t>
  </si>
  <si>
    <t>Grazer Bergland östlich der Mur [LRR]</t>
  </si>
  <si>
    <t>GK100139</t>
  </si>
  <si>
    <t>Günser Gebirge Umland [LRR]</t>
  </si>
  <si>
    <t>GK100146</t>
  </si>
  <si>
    <t>Hügelland Rabnitz [LRR]</t>
  </si>
  <si>
    <t>GK100148</t>
  </si>
  <si>
    <t>Wechselgebiet [LRR]</t>
  </si>
  <si>
    <t>GK100149</t>
  </si>
  <si>
    <t>Rheintal [RHE]</t>
  </si>
  <si>
    <t>GK100150</t>
  </si>
  <si>
    <t>Walgau [RHE]</t>
  </si>
  <si>
    <t>GK100151</t>
  </si>
  <si>
    <t>Helvetikum [RHE]</t>
  </si>
  <si>
    <t>GK100152</t>
  </si>
  <si>
    <t>Kristallin [RHE]</t>
  </si>
  <si>
    <t>GK100153</t>
  </si>
  <si>
    <t>Molasse und nördliche Flyschzone [RHE]</t>
  </si>
  <si>
    <t>GK100154</t>
  </si>
  <si>
    <t>Nördliche Kalkalpen [RHE]</t>
  </si>
  <si>
    <t>GK100155</t>
  </si>
  <si>
    <t>Südliche Flyschzone [RHE]</t>
  </si>
  <si>
    <t>GK100156</t>
  </si>
  <si>
    <t>Mürz [MUR]</t>
  </si>
  <si>
    <t>GK100174</t>
  </si>
  <si>
    <t>Ilz und Rittscheintal [LRR]</t>
  </si>
  <si>
    <t>GK100176</t>
  </si>
  <si>
    <t>Südl. Wiener Becken-Ostrand [DUJ]</t>
  </si>
  <si>
    <t>GK100178</t>
  </si>
  <si>
    <t>Südl. Wiener Becken-Ostrand [LRR]</t>
  </si>
  <si>
    <t>GK100181</t>
  </si>
  <si>
    <t>Hügelland Raab Ost [LRR]</t>
  </si>
  <si>
    <t>GK100183</t>
  </si>
  <si>
    <t>Hügelland zwischen Mur und Raab [MUR]</t>
  </si>
  <si>
    <t>GK100184</t>
  </si>
  <si>
    <t>Turrach, Kreischberg, Frauenalpe, Stolzalpe [MUR]</t>
  </si>
  <si>
    <t>GK100185</t>
  </si>
  <si>
    <t>Salzburger Hohe Tauern [MUR]</t>
  </si>
  <si>
    <t>GK100186</t>
  </si>
  <si>
    <t>Zentralzone [DRA]</t>
  </si>
  <si>
    <t>GK100187</t>
  </si>
  <si>
    <t>Hügelland Raab West [LRR]</t>
  </si>
  <si>
    <t>GK100188</t>
  </si>
  <si>
    <t>Flyschzone [DUJ]</t>
  </si>
  <si>
    <t>GK100189</t>
  </si>
  <si>
    <t>Nördliche Kalkalpen [DUJ]</t>
  </si>
  <si>
    <t>GK100190</t>
  </si>
  <si>
    <t>Böhmische Masse [DUJ]</t>
  </si>
  <si>
    <t>GK100191</t>
  </si>
  <si>
    <t>Bucklige Welt [LRR]</t>
  </si>
  <si>
    <t>GK100192</t>
  </si>
  <si>
    <t>Leithagebirge [LRR]</t>
  </si>
  <si>
    <t>GK100194</t>
  </si>
  <si>
    <t>Karawanken [DRA]</t>
  </si>
  <si>
    <t>GK100195</t>
  </si>
  <si>
    <t>Sulm [MUR]</t>
  </si>
  <si>
    <t>GK100196</t>
  </si>
  <si>
    <t>Saggau [MUR]</t>
  </si>
  <si>
    <t>GK100197</t>
  </si>
  <si>
    <t>Hausruck [DUJ]</t>
  </si>
  <si>
    <t>GK100198</t>
  </si>
  <si>
    <t>Kobernaußerwald [DBJ]</t>
  </si>
  <si>
    <t>m³/a</t>
  </si>
  <si>
    <t>Landwirtschaft Bewässerung</t>
  </si>
  <si>
    <t>Landwirtschaft Vieh</t>
  </si>
  <si>
    <t>Brunnen Gesamt</t>
  </si>
  <si>
    <t>%</t>
  </si>
  <si>
    <t>Industrie &amp;
prod. Gewerbe</t>
  </si>
  <si>
    <t>Ausgewählte Dienstleistungen</t>
  </si>
  <si>
    <t>Verfügbare GW-Ressource
m³/a</t>
  </si>
  <si>
    <t>Nutzungs-intensität</t>
  </si>
  <si>
    <t xml:space="preserve"> Wasser-versorung</t>
  </si>
  <si>
    <t>Quellen Gesamt</t>
  </si>
  <si>
    <t>Szenario</t>
  </si>
  <si>
    <t>aktuell</t>
  </si>
  <si>
    <t>Heideboden [DUJ]Parndorfer Platte [LRR]</t>
  </si>
  <si>
    <t>Günser Gebirge Umland [LRR]Bucklige Welt [LRR]</t>
  </si>
  <si>
    <t>Landwirt-schaft</t>
  </si>
  <si>
    <t xml:space="preserve"> Wasser-versorgung</t>
  </si>
  <si>
    <t>günstig</t>
  </si>
  <si>
    <t>ungünstig</t>
  </si>
  <si>
    <t>Projekt</t>
  </si>
  <si>
    <t>Zitiervorschlag</t>
  </si>
  <si>
    <t>Datenstand</t>
  </si>
  <si>
    <t>Anmerkung</t>
  </si>
  <si>
    <t>Copyright und Haftung</t>
  </si>
  <si>
    <t>Auszugsweiser Abdruck ist nur mit Quellenangabe gestattet, alle sonstigen Rechte sind ohne schriftliche Zustimmung des Medieninhabers unzulässig. Es wird darauf verwiesen, dass alle Angaben in dieser Publikation trotz sorgfältiger Bearbeitung ohne Gewähr erfolgen und eine Haftung des Bundesministeriums für Landwirtschaft, Regionen und Tourismus und der Autorin/des Autors ausgeschlossen ist. Rechtausführungen stellen die unverbindliche Meinung der Autorin/des Autors dar und können der Rechtsprechung der unabhängigen Gerichte keinesfalls vorgreifen.</t>
  </si>
  <si>
    <t>Verfügbare Grundwasseressourcen und Wasserbedarf aus Brunnen und Quellen je Grundwasserkörper</t>
  </si>
  <si>
    <t>Verfügbare Grundwasseressourcen und Wasserbedarf aus Brunnen und Quellen je Szenarienregion für die aktuelle Situation und für das günstige und ungünstige Wasserschatzszenario 2050</t>
  </si>
  <si>
    <t>GW-Neub. gesamt inkl. randl. Zu- u. Abflüsse</t>
  </si>
  <si>
    <t>Ressourcen aus flächiger GW-Neubildung</t>
  </si>
  <si>
    <t>Ressourcen aus Infiltration</t>
  </si>
  <si>
    <t>Ressourcen aus randlichen Zuflüssen</t>
  </si>
  <si>
    <t>Abzüge für Ressourcen der Einzelporen-GWK</t>
  </si>
  <si>
    <t>Summe verfügbarer Ressourcen m³/a</t>
  </si>
  <si>
    <t>Fußnoten für Ressourcen, die nur in bestimmten Bereichen nutzbar sind</t>
  </si>
  <si>
    <t>im Begleitstrom der Salzach nutzbar</t>
  </si>
  <si>
    <t xml:space="preserve"> entspricht den Entnahmen aus dem Donaubegleitstrom für die WVA Passau</t>
  </si>
  <si>
    <t>im GW-Abstrombereich zum Salzachtal nutzbar</t>
  </si>
  <si>
    <t>im GW-Abstrombereich zum Salzach- und Inntal nutzbar</t>
  </si>
  <si>
    <t>keine Infiltration aus der Donau</t>
  </si>
  <si>
    <t>im Begleitstrom der Donau nutzbar</t>
  </si>
  <si>
    <t>im Begleitstrom der Donau und Enns nutzbar</t>
  </si>
  <si>
    <t>in jenen Bereichen nutzbar, in denen keine unmittelbaren Auswirkungen auf Oberflächengewässer zu erwarten sind</t>
  </si>
  <si>
    <t>Unteres Ennstal (Noe, Ooe) [DUJ]</t>
  </si>
  <si>
    <t>im Begleitstrom der Enns nutzbar</t>
  </si>
  <si>
    <t>im Donaubegleitstrom nutzbar (Summe links- u. rechtsufrig)</t>
  </si>
  <si>
    <t>im Begleitstrom von Donau und Traun nutzbar</t>
  </si>
  <si>
    <t>Mittleres Ennstal (Trauten­fels bis Gesäuse) [DUJ]</t>
  </si>
  <si>
    <t>Oberes Ennstal (Landesgrenze STMK bis Trautenfels) [DUJ]</t>
  </si>
  <si>
    <t>im Begleitstrom von Vöckla, Ager, Traun und Alm nutzbar</t>
  </si>
  <si>
    <t>im Begleitstrom der Traun nutzbar</t>
  </si>
  <si>
    <t>im Nahbereich der Drau nutzbar (in Quellen austretendes oder exfiltrierendes Grundwasser)</t>
  </si>
  <si>
    <t>in Bereichen mit Infiltration aus Gurk und Glan nutzbar</t>
  </si>
  <si>
    <t>in jenen Bereichen nutzbar, in denen eine entnahmebedingte zusätzl. Infiltration aus der Gurk möglich ist</t>
  </si>
  <si>
    <t>in Bereichen mit Infiltration aus der Gurk nutzbar</t>
  </si>
  <si>
    <t>Weinviertel [MAR] mit Uferfiltrat March</t>
  </si>
  <si>
    <t>im Begleitstrom der March sowie in der quartären Füllung des Marchtales nutzbar</t>
  </si>
  <si>
    <t>im Begleitstrom der Mur nutzbar</t>
  </si>
  <si>
    <t>Grazer Feld (Graz/Andritz bis Wildon) [MUR]</t>
  </si>
  <si>
    <t>in Bereichen mit Infiltration aus der Mur nutzbar</t>
  </si>
  <si>
    <t>in Bereichen mit Infiltration aus der Mur und dem Weißenegger Mühlgang (aus der Mur dotiert) nutzbar</t>
  </si>
  <si>
    <t>Mittl. Murtal (Knittelfeld bis Bruck/Mur)  [MUR]</t>
  </si>
  <si>
    <t>im Begleitstrom der Mur nutzbar und auf kurzem Wege in die Mur zurückzuleiten</t>
  </si>
  <si>
    <t>Murdurchbruchstal  (Bruck/Mur - Graz/Andritz) [MUR]</t>
  </si>
  <si>
    <t>Oberes Murtal (Landesgrenze STMK bis Judenburg) [MUR]</t>
  </si>
  <si>
    <t>Unteres Murtal (Abstrom Leibnitzer Feld bis Staatsgrenze) [MUR]</t>
  </si>
  <si>
    <t>im Nahbereich der Mur nutzbar</t>
  </si>
  <si>
    <t>ab der Einmüdung der Feistritz nutzbar</t>
  </si>
  <si>
    <t>Grazer Bergland östl. der Mur [LRR]</t>
  </si>
  <si>
    <t>im Rheinbegleitstrom nutzbar</t>
  </si>
  <si>
    <t>Molasse u. nördl. Flyschzone [RHE]</t>
  </si>
  <si>
    <t>entspricht den Entnahmen aus dem Donaubegleitstrom für div. WVA</t>
  </si>
  <si>
    <t>entspricht dem nutzbaren Anteil des GW-Zustromes aus dem Südl. Wiener Becken zuzügl. einer erhöhten Ressource die in der quartären Talfüllung der Leithaniederung genutzt werden kann</t>
  </si>
  <si>
    <t>Sulmtal [MUR]</t>
  </si>
  <si>
    <t>Saggautal [MUR]</t>
  </si>
  <si>
    <t>GWK-Leitertyp</t>
  </si>
  <si>
    <t>Fläche km²</t>
  </si>
  <si>
    <t>PGWL</t>
  </si>
  <si>
    <t>vKAGWL</t>
  </si>
  <si>
    <t>vKLGWL</t>
  </si>
  <si>
    <t>vPGWL</t>
  </si>
  <si>
    <t>Einzel-GWK</t>
  </si>
  <si>
    <t>Einzel-GWK: Einzelgrundwasserkörper</t>
  </si>
  <si>
    <t>GWK-Gruppe: Gruppe von Grundwasserkörpern</t>
  </si>
  <si>
    <t>PGWL: Porengrundwasserleiter</t>
  </si>
  <si>
    <t>vPGWL: vorwiegend Porengrundwasserleiter</t>
  </si>
  <si>
    <t>vKaGWL: vorwiegend Karstgrundwasserleiter</t>
  </si>
  <si>
    <t>vKlGWL: vorwiegend Kluftgrundwasserleiter</t>
  </si>
  <si>
    <t>Brunnenentnahmen "Wasserschatzszenario günstig"</t>
  </si>
  <si>
    <t>Wasserschatzszenario</t>
  </si>
  <si>
    <t>Quellnutzung "Wasserschatzszenario günstig"</t>
  </si>
  <si>
    <t>Brunnenentnahmen "Wasserschatzszenario ungünstig"</t>
  </si>
  <si>
    <t>Quellnutzung "Wasserschatzszenario ungünstig"</t>
  </si>
  <si>
    <t>18.08.2021; Grundwasserkörperabgrenzung Stand Nationaler Gewässerbewirtschaftungsplan 2015</t>
  </si>
  <si>
    <t>Bundesland</t>
  </si>
  <si>
    <t>Niederösterreich &amp; Wien</t>
  </si>
  <si>
    <t>Oberösterreich</t>
  </si>
  <si>
    <t>Burgenland</t>
  </si>
  <si>
    <t>Steiermark</t>
  </si>
  <si>
    <t>Salzburg</t>
  </si>
  <si>
    <t>Tirol</t>
  </si>
  <si>
    <t>Vorarlberg</t>
  </si>
  <si>
    <t>Kärnten &amp; Osttirol</t>
  </si>
  <si>
    <t>Großteil der Entnahmen für Industrie &amp; Gewerbe aus oberflächen-gewässerbeeinflussten Brunnen, der direkt in Vorfluter eingeleitet oder ufernah versickert wird</t>
  </si>
  <si>
    <t>Pielachtal, Traisental, NÖ Alpenvorland-Teilbereiche [DUJ]</t>
  </si>
  <si>
    <t>Erlauftal / Pöchlarner Fel d/Ybbstal / Ybbser Scheibe / NÖ Alpenvorland-Teilbereiche [DUJ]</t>
  </si>
  <si>
    <t>Machland, Südl. Machland , NÖ Alpenvorland-Teilbereich, Unteres Ennstal (NÖ, OÖ) [DUJ]</t>
  </si>
  <si>
    <t>Günstal, Lafnitztal, Pinkatal, Stremtal, Hügelland Raab Ost [LRR]</t>
  </si>
  <si>
    <t>Fischbacher Alpen, Wechselgebiet [LRR]</t>
  </si>
  <si>
    <t>Feistritztal, Raabtal, Safental, Ilz und Rittscheintal, Hügelland Raab West [LRR]</t>
  </si>
  <si>
    <t>Wulkatal, Ikvatal, Rabnitztal, Stooberbachtal, Hügelland Rabnitz, Leithagebirge [LRR]</t>
  </si>
  <si>
    <t>Flyschzone-Teilbereich [DUJ]</t>
  </si>
  <si>
    <t>Böhmische Masse-Teilbereich [DUJ], Böhmische Masse-Teilbereich [ELB]</t>
  </si>
  <si>
    <t>Böhmische Masse [DBJ], Böhmische Masse-Teilbereich [DUJ], Böhmische Masse-Teilbereich [ELB]</t>
  </si>
  <si>
    <t>Flyschzone-Teilbereiche[DUJ]</t>
  </si>
  <si>
    <t>Oberinnviertler Seenplatte, Salzach - Inn - Mattig [DBJ]</t>
  </si>
  <si>
    <t>Salzburger Alpenvorland [DUJ] und  [DBJ]</t>
  </si>
  <si>
    <t>Nördliche Kalkalpen-Teilbereich [DBJ]</t>
  </si>
  <si>
    <t>Hausruck, Kobernaußerwald [DBJ]</t>
  </si>
  <si>
    <t>Böhmische Masse-Teilbereich [ELB]</t>
  </si>
  <si>
    <t>Flyschzone-Teilbereiche [DUJ]</t>
  </si>
  <si>
    <t>Nördliche Kalkalpen-Teilbereich [DUJ]</t>
  </si>
  <si>
    <t>Mittleres Ennstal (Trautenfels bis Gesäuse), Unteres Ennstal (Stmk), Nördliche Kalkalpen-Teilbereich [DUJ]</t>
  </si>
  <si>
    <t>Oberes Ennstal (Landesgrenze bis Trautenfels), Traun, Nördliche Kalkalpen-Teilbereich [DUJ]</t>
  </si>
  <si>
    <t>Pinzgauer Saalachtal, Zentralzone-Teilbereich [DBJ]</t>
  </si>
  <si>
    <t>Großache, Zentralzone-Teilbereich [DBJ]</t>
  </si>
  <si>
    <t>Helvetikum [DBJ] und [RHE], Molasse und nördliche Flyschzone [RHE]</t>
  </si>
  <si>
    <t>Südliche Flyschzone [DBJ], Walgau, Nördliche Kalkalpen, Südliche Flyschzone [RHE]</t>
  </si>
  <si>
    <t>Lechtal, Nördliche Kalkalpen-Teilbereiche [DBJ]</t>
  </si>
  <si>
    <t>Zentralzone-Teilbereich [DBJ]</t>
  </si>
  <si>
    <t>Palten, Niedere Tauern einschl. Grauwackenzone [DUJ]</t>
  </si>
  <si>
    <t>Grebenzen [DRA]; Oberes Murtal; Seetaler Alpen Nord; Turrach, Kreischberg, Frauenalpe, Stolzalpe [MUR]</t>
  </si>
  <si>
    <t>Liesing [MUR]; Grauwackenzone Mitte [DUJ] und [MUR]</t>
  </si>
  <si>
    <t>Nördliche Kalkalpen-Teilbereiche [MUR]</t>
  </si>
  <si>
    <t>Grazer Bergland östlich und westlich der Mur [MUR]; Grazer Bergland östlich der Mur [LRR]</t>
  </si>
  <si>
    <t>Fischbacher Alpen; Mürz [MUR]</t>
  </si>
  <si>
    <t>Altes Gurktal; Lavanttal; Zentralzone [DRA]</t>
  </si>
  <si>
    <t>Jauntal; Klagenfurter Becken; Rosental, Sattnitz [DRA]</t>
  </si>
  <si>
    <t>Karawanken; Südliche Kalkalpen-Teilbereich [DRA]</t>
  </si>
  <si>
    <t>Glantal; Krappfeld; Metnitztal; Tiebel; Unteres Gurktal; Zentralzone-Teilbereich [DRA]</t>
  </si>
  <si>
    <t>Drautal; Zentralzone-Teilbereiche [DRA]</t>
  </si>
  <si>
    <t>Südl. Wiener Becken-Ostrand [DUJ] und [LRR]</t>
  </si>
  <si>
    <t>Gailtal; Südliche Kalkalpen-Teilbereiche [DRA]</t>
  </si>
  <si>
    <t>Zentralzone-Teilbereich [DRA]</t>
  </si>
  <si>
    <t>Grauwackenzone; Nördliche Kalkalpen; Semmering [LRR]</t>
  </si>
  <si>
    <t>Aichfeld-Murboden (Judenburg - Knittelfeld); Mittl. Murtal Knittelfeld bis Bruck/Mur  [MUR]</t>
  </si>
  <si>
    <t>Grazer Feld (Graz/Andritz - Wildon); Murdurchbruchstal  (Bruck/Mur - Graz/Andritz) [MUR]</t>
  </si>
  <si>
    <t>Leibnitzer Feld; Unteres Murtal [MUR]</t>
  </si>
  <si>
    <t>Weststeirisches Hügelland [DRA]; Kainach; Lassnitz, Stainzbach; Weststeirisches Hügelland; Sulmtal; Saggautal [MUR]</t>
  </si>
  <si>
    <t>Anmerkungen</t>
  </si>
  <si>
    <t>Projektleitung BMLRT</t>
  </si>
  <si>
    <t>SC DI Günter Liebel, DI Ernst Überreiter</t>
  </si>
  <si>
    <t>Blatt 1 Erläuterungen</t>
  </si>
  <si>
    <t>Methoden und Datenunsicherheiten</t>
  </si>
  <si>
    <t>https://info.bmlrt.gv.at/dam/jcr:23a0a2fe-3b8c-4964-b398-01c3b184debf/Wasserschatz_%C3%96sterreichs_Hintergrunddokument.pdf</t>
  </si>
  <si>
    <t xml:space="preserve">große Entnahmen ergeben aufgrund Infiltration des Vorfluters eine größere verfügbare Ressource </t>
  </si>
  <si>
    <t xml:space="preserve">Aggregierung von (Teil)Grundwasserkörpern zu 89 Szenarienregionen, die aufgrund hydrogeologischer Kriterien abgegrenzt wurden. </t>
  </si>
  <si>
    <t xml:space="preserve">Die Ergebnisse für Szenarienregionen, die über die Bundesländergrenzen reichen, zeigen Durchschnittswerte für die gesamte Region, ohne Berücksichtigung von unterschiedlichen bundeslandspezifischen Charakteristika. </t>
  </si>
  <si>
    <t>Brunnenentnahmen aktuell</t>
  </si>
  <si>
    <t>Quellnutzung aktuell</t>
  </si>
  <si>
    <t>km²</t>
  </si>
  <si>
    <t xml:space="preserve">Fläche </t>
  </si>
  <si>
    <t>Erläuterungen</t>
  </si>
  <si>
    <t>Grundwasserneubildung und -ressourcen je Grundwasserkörper</t>
  </si>
  <si>
    <t>Szenarienregionen</t>
  </si>
  <si>
    <t xml:space="preserve">Für die Beurteilung der Auswirkungen von Brunnenentnahmen auf den Grundwasserkörper und damit auf den Nutzungsgrad ist die Lage der Entnahmestelle und der Nutzungszweck von Bedeutung. Brunnenentnahmen können bilanzneutral sein. Details sind in den Anmerkungen enthalten. </t>
  </si>
  <si>
    <t>Blatt 2 Szenarienregionen</t>
  </si>
  <si>
    <t xml:space="preserve">Blatt 3 Szenarienergebnisse </t>
  </si>
  <si>
    <t>Blatt 4 GWK_Ressourcen</t>
  </si>
  <si>
    <t>Blatt 5 GWK_Wasserbedarf</t>
  </si>
  <si>
    <t>davon  Ressourcen,
die nur in bestimmten Bereichen nutzbar sind</t>
  </si>
  <si>
    <t>Gesamtsumme km²</t>
  </si>
  <si>
    <t>Teilsumme km²</t>
  </si>
  <si>
    <t>Gesamtsumme m³/a</t>
  </si>
  <si>
    <t>Teilsumme m³/a</t>
  </si>
  <si>
    <t>Der insgesamt geringe Anteil von Quellnutzungen von Industrie und Gewerbe wurde nicht räumlich zugeordnet. Dieser wird aber beim gesamten Wasserbedarf und somit auch bei der Grundwassernutzung von Industrie &amp; Gewerbe mitberücksichtigt.</t>
  </si>
  <si>
    <t>Gesamtsumme Mio. m³</t>
  </si>
  <si>
    <t>Teilsumme Mio. m³</t>
  </si>
  <si>
    <t>Mio. m³/a</t>
  </si>
  <si>
    <t>Szenarienegion Name</t>
  </si>
  <si>
    <t>Szenarienregion Nummer</t>
  </si>
  <si>
    <t>Szenarienregion Name</t>
  </si>
  <si>
    <t xml:space="preserve">Lindinger H., Holler Ch., Neunteufel R., Grath J., Brielmann H., Schönbauer A., Gattringer I., Formanek Ch., Broer M., Rosmann T.,  Szerencsits M.,  Sinemus N., Grunert M. und Germann V. (2021): Wasserschatz Österreichs. Grundlagen für nachhaltige Nutzungen des Grundwassers. Bundesministerium für Landwirtschaft, Regionen und Tourismus. </t>
  </si>
  <si>
    <t>https://info.bmlrt.gv.at/dam/jcr:75a703dd-9c25-452a-ac06-5240abbd118a/Bericht_Wasserschatz.pdf</t>
  </si>
  <si>
    <t>Wasserschatz Österreichs. Grundlagen für nachhaltige Nutzungen des Grundwassers.
Im Auftrag des Bundesministeriums für Landwirtschaft, Regionen und Tourismus durchgeführt vom Umweltbundesamt, von der Universität für Bodenkultur und vom Ingenieurbüro Holler.</t>
  </si>
  <si>
    <t>Geringfügige Aktualisierungen in den Tabellen mit oben angeführtem Datenstand erfolgten nach Redaktionsschluss des Berichts „Wasserschatz Österreichs“ und konnten speziell in den enthaltenen Karten nicht vollständig nachgeführt werden.</t>
  </si>
  <si>
    <t>Informationen dazu sind im „Wasserschatz Österreichs – Hintergrunddokument“ beschrieben.</t>
  </si>
  <si>
    <t>Aktuelle Situation und 2050: Verfügbare Grundwasseressourcen und Wasserbedarf aus Brunnen und Quellen je Szenarienregion für die aktuelle Situation und für das günstige und ungünstige Wasserschatzszenario 2050. Zu Erläuterungen und Details bezüglich Wasserschatzszenarien 2050 siehe Kapitel 3 auf Seiten 28 und 29 im Bericht „Wasserschatz Österreichs“.</t>
  </si>
  <si>
    <t>Aktuelle Situation: Grundwasserneubildung und verfügbare Grundwasserressource je Grundwasserkörper. Grundwasserkörperabgrenzung Stand NGP 2015. Langjährige Mittelwerte für den Zeitraum 1998 bis 2017. Methodische Beschreibung und Details sind im „Wasserschatz Österreichs – Hintergrunddokument“ beschrieben.</t>
  </si>
  <si>
    <t>Aktuelle Situation: Verfügbare Grundwasserressourcen und Wasserbedarf aus Brunnen und Quellen je GWK, Grundwasserkörperabgrenzung Nationaler Gewässerbewirtschaftungsplan Stand 2015. Zeitreihen für den Wasserbedarf liegen zwischen 2014 und 2018. Methodische Beschreibung und Details sind im „Wasserschatz Österreichs – Hintergrunddokument“ beschrieben.</t>
  </si>
  <si>
    <t>im Begleitstrom der Donau sind 22,8 Mio m³/a nutzbar; weitere 2 Mio m³/a sind im Einflussbereich des Marchfeldkanales nutzbar</t>
  </si>
  <si>
    <t>im Begleitstrom der Mur nutzbar und auf kurzem Wege in die Mur zurückzuleiten; darüber hinaus werden 16,3 Mio m³/a von der Industrie ufernah entnommen die als Ressource der Mur (Oberflächenwasser) zu werten sind (kein Grundwasser)</t>
  </si>
  <si>
    <t>die ufernahen Entnahmen der Industrie von 17,0 Mio m³/a werden lt. Angaben des Landes Steiermark auf kurzem Wege in die Mürz zurückgeleitet und sind als Ressourcen aus der Mürz anzusehen (kein Grundwasser)</t>
  </si>
  <si>
    <t>Version02</t>
  </si>
  <si>
    <t>Aktualisierung Grundwasserneubildung GK100064 Krappfeld [DRA]</t>
  </si>
  <si>
    <t>21.01.2022 (HL)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</si>
</sst>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0.0"/>
  </numFmts>
  <fonts count="12" x14ac:knownFonts="1">
    <font>
      <sz val="11"/>
      <color theme="1"/>
      <name val="Corbel"/>
      <family val="2"/>
      <scheme val="minor"/>
    </font>
    <font>
      <sz val="11"/>
      <color theme="1"/>
      <name val="Corbel"/>
      <family val="2"/>
      <scheme val="minor"/>
    </font>
    <font>
      <sz val="10"/>
      <name val="Arial"/>
      <family val="2"/>
    </font>
    <font>
      <sz val="10"/>
      <color theme="1"/>
      <name val="Calibri"/>
      <family val="2"/>
    </font>
    <font>
      <b/>
      <sz val="10"/>
      <color theme="1"/>
      <name val="Calibri"/>
      <family val="2"/>
    </font>
    <font>
      <sz val="10"/>
      <color rgb="FF000000"/>
      <name val="Calibri"/>
      <family val="2"/>
    </font>
    <font>
      <sz val="10"/>
      <name val="Calibri"/>
      <family val="2"/>
    </font>
    <font>
      <sz val="11"/>
      <color theme="1"/>
      <name val="Calibri"/>
      <family val="2"/>
    </font>
    <font>
      <sz val="10.5"/>
      <color theme="1"/>
      <name val="Calibri"/>
      <family val="2"/>
    </font>
    <font>
      <u/>
      <sz val="11"/>
      <color theme="10"/>
      <name val="Corbel"/>
      <family val="2"/>
      <scheme val="minor"/>
    </font>
    <font>
      <u/>
      <sz val="11"/>
      <color theme="10"/>
      <name val="Calibri"/>
      <family val="2"/>
    </font>
    <font>
      <sz val="13"/>
      <color theme="1"/>
      <name val="Calibri"/>
      <family val="2"/>
    </font>
  </fonts>
  <fills count="3">
    <fill>
      <patternFill patternType="none"/>
    </fill>
    <fill>
      <patternFill patternType="gray125"/>
    </fill>
    <fill>
      <patternFill patternType="solid">
        <fgColor theme="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9" fillId="0" borderId="0" applyNumberFormat="0" applyFill="0" applyBorder="0" applyAlignment="0" applyProtection="0"/>
  </cellStyleXfs>
  <cellXfs count="103">
    <xf numFmtId="0" fontId="0" fillId="0" borderId="0" xfId="0"/>
    <xf numFmtId="0" fontId="3" fillId="0" borderId="0" xfId="0" applyFont="1"/>
    <xf numFmtId="3" fontId="3" fillId="0" borderId="1" xfId="0" applyNumberFormat="1" applyFont="1" applyBorder="1"/>
    <xf numFmtId="3" fontId="3" fillId="0" borderId="13" xfId="2" applyNumberFormat="1" applyFont="1" applyFill="1" applyBorder="1" applyAlignment="1">
      <alignment horizontal="right" vertical="center" wrapText="1"/>
    </xf>
    <xf numFmtId="164" fontId="3" fillId="0" borderId="1" xfId="0" applyNumberFormat="1" applyFont="1" applyBorder="1"/>
    <xf numFmtId="0" fontId="3" fillId="0" borderId="0" xfId="0" applyFont="1" applyAlignment="1">
      <alignment wrapText="1"/>
    </xf>
    <xf numFmtId="0" fontId="3" fillId="0" borderId="0" xfId="0" applyFont="1" applyAlignment="1">
      <alignment vertical="top" wrapText="1"/>
    </xf>
    <xf numFmtId="0" fontId="4" fillId="0" borderId="0" xfId="0" applyFont="1" applyAlignment="1">
      <alignment wrapText="1"/>
    </xf>
    <xf numFmtId="14" fontId="3" fillId="0" borderId="0" xfId="0" applyNumberFormat="1" applyFont="1" applyAlignment="1">
      <alignment vertical="top" wrapText="1"/>
    </xf>
    <xf numFmtId="0" fontId="3" fillId="0" borderId="0" xfId="0" applyFont="1" applyBorder="1" applyAlignment="1">
      <alignment vertical="top" wrapText="1"/>
    </xf>
    <xf numFmtId="0" fontId="3" fillId="0" borderId="0" xfId="0" applyFont="1" applyBorder="1"/>
    <xf numFmtId="0" fontId="3" fillId="0" borderId="0" xfId="0" applyFont="1" applyBorder="1" applyAlignment="1"/>
    <xf numFmtId="0" fontId="3" fillId="0" borderId="0" xfId="0" applyFont="1" applyFill="1" applyBorder="1"/>
    <xf numFmtId="3" fontId="6" fillId="0" borderId="0" xfId="2"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0" fontId="3" fillId="0" borderId="0" xfId="0" applyFont="1" applyBorder="1" applyAlignment="1">
      <alignment horizontal="center"/>
    </xf>
    <xf numFmtId="0" fontId="6" fillId="0" borderId="13" xfId="2" applyFont="1" applyFill="1" applyBorder="1" applyAlignment="1">
      <alignment horizontal="center" vertical="center" wrapText="1"/>
    </xf>
    <xf numFmtId="0" fontId="6" fillId="0" borderId="1" xfId="2" applyFont="1" applyFill="1" applyBorder="1" applyAlignment="1">
      <alignment horizontal="center" vertical="center" wrapText="1"/>
    </xf>
    <xf numFmtId="0" fontId="6" fillId="0" borderId="2" xfId="2" applyFont="1" applyFill="1" applyBorder="1" applyAlignment="1">
      <alignment horizontal="center" vertical="center" wrapText="1"/>
    </xf>
    <xf numFmtId="0" fontId="6" fillId="0" borderId="14" xfId="2" applyFont="1" applyFill="1" applyBorder="1" applyAlignment="1">
      <alignment horizontal="center" vertical="center" wrapText="1"/>
    </xf>
    <xf numFmtId="0" fontId="6" fillId="0" borderId="6" xfId="2" applyFont="1" applyFill="1" applyBorder="1" applyAlignment="1">
      <alignment horizontal="center" vertical="center" wrapText="1"/>
    </xf>
    <xf numFmtId="0" fontId="3" fillId="0" borderId="1" xfId="0" applyFont="1" applyFill="1" applyBorder="1"/>
    <xf numFmtId="0" fontId="3" fillId="0" borderId="12" xfId="0" applyFont="1" applyFill="1" applyBorder="1"/>
    <xf numFmtId="0" fontId="3" fillId="0" borderId="1" xfId="0" applyFont="1" applyBorder="1"/>
    <xf numFmtId="164" fontId="3" fillId="0" borderId="1" xfId="0" applyNumberFormat="1" applyFont="1" applyFill="1" applyBorder="1"/>
    <xf numFmtId="3" fontId="3" fillId="0" borderId="1" xfId="0" applyNumberFormat="1" applyFont="1" applyFill="1" applyBorder="1"/>
    <xf numFmtId="165" fontId="3" fillId="0" borderId="1" xfId="1" applyNumberFormat="1" applyFont="1" applyBorder="1"/>
    <xf numFmtId="0" fontId="6" fillId="0" borderId="0" xfId="2" applyFont="1" applyFill="1" applyBorder="1" applyAlignment="1">
      <alignment horizontal="center" vertical="center" wrapText="1"/>
    </xf>
    <xf numFmtId="0" fontId="6" fillId="0" borderId="0" xfId="2" applyFont="1" applyFill="1" applyBorder="1" applyAlignment="1">
      <alignment vertical="center" wrapText="1"/>
    </xf>
    <xf numFmtId="166" fontId="3" fillId="0" borderId="0" xfId="0" applyNumberFormat="1" applyFont="1"/>
    <xf numFmtId="0" fontId="3" fillId="0" borderId="1" xfId="0" applyFont="1" applyBorder="1" applyAlignment="1">
      <alignment wrapText="1"/>
    </xf>
    <xf numFmtId="166" fontId="3" fillId="0" borderId="1" xfId="0" applyNumberFormat="1" applyFont="1" applyBorder="1" applyAlignment="1">
      <alignment wrapText="1"/>
    </xf>
    <xf numFmtId="166" fontId="3" fillId="0" borderId="1" xfId="0" applyNumberFormat="1" applyFont="1" applyBorder="1"/>
    <xf numFmtId="0" fontId="3" fillId="0" borderId="0" xfId="0" applyFont="1" applyAlignment="1">
      <alignment horizontal="right"/>
    </xf>
    <xf numFmtId="0" fontId="3" fillId="0" borderId="0" xfId="0" applyFont="1" applyAlignment="1">
      <alignment horizontal="center"/>
    </xf>
    <xf numFmtId="0" fontId="7" fillId="0" borderId="0" xfId="0" applyFont="1" applyBorder="1" applyAlignment="1"/>
    <xf numFmtId="3" fontId="3" fillId="0" borderId="0" xfId="0" applyNumberFormat="1" applyFont="1" applyFill="1" applyBorder="1" applyAlignment="1">
      <alignment horizontal="right" vertical="center" wrapText="1"/>
    </xf>
    <xf numFmtId="0" fontId="3" fillId="0" borderId="0" xfId="0" applyFont="1" applyFill="1" applyBorder="1" applyAlignment="1">
      <alignment horizontal="right"/>
    </xf>
    <xf numFmtId="0" fontId="3" fillId="0" borderId="0" xfId="0" applyFont="1" applyBorder="1" applyAlignment="1">
      <alignment horizontal="left"/>
    </xf>
    <xf numFmtId="0" fontId="6" fillId="0" borderId="29" xfId="2" applyFont="1" applyFill="1" applyBorder="1" applyAlignment="1">
      <alignment horizontal="center" vertical="center" wrapText="1"/>
    </xf>
    <xf numFmtId="0" fontId="6" fillId="0" borderId="5" xfId="2" applyFont="1" applyFill="1" applyBorder="1" applyAlignment="1">
      <alignment horizontal="center" vertical="center" wrapText="1"/>
    </xf>
    <xf numFmtId="0" fontId="6" fillId="0" borderId="0" xfId="2" applyFont="1" applyFill="1" applyBorder="1" applyAlignment="1">
      <alignment horizontal="left" vertical="center" wrapText="1"/>
    </xf>
    <xf numFmtId="3" fontId="6" fillId="0" borderId="2" xfId="2" applyNumberFormat="1" applyFont="1" applyFill="1" applyBorder="1" applyAlignment="1">
      <alignment horizontal="right" vertical="center" wrapText="1"/>
    </xf>
    <xf numFmtId="3" fontId="6" fillId="0" borderId="13" xfId="2" applyNumberFormat="1" applyFont="1" applyFill="1" applyBorder="1" applyAlignment="1">
      <alignment horizontal="right" vertical="center" wrapText="1"/>
    </xf>
    <xf numFmtId="3" fontId="6" fillId="0" borderId="1" xfId="2" applyNumberFormat="1" applyFont="1" applyFill="1" applyBorder="1" applyAlignment="1">
      <alignment horizontal="right" vertical="center" wrapText="1"/>
    </xf>
    <xf numFmtId="3" fontId="6" fillId="0" borderId="14" xfId="2" applyNumberFormat="1" applyFont="1" applyFill="1" applyBorder="1" applyAlignment="1">
      <alignment horizontal="center" vertical="center" wrapText="1"/>
    </xf>
    <xf numFmtId="3" fontId="6" fillId="0" borderId="14" xfId="2" applyNumberFormat="1" applyFont="1" applyFill="1" applyBorder="1" applyAlignment="1">
      <alignment horizontal="right" vertical="center" wrapText="1"/>
    </xf>
    <xf numFmtId="3" fontId="6" fillId="0" borderId="27" xfId="2" applyNumberFormat="1" applyFont="1" applyFill="1" applyBorder="1" applyAlignment="1">
      <alignment horizontal="right" vertical="center" wrapText="1"/>
    </xf>
    <xf numFmtId="0" fontId="3" fillId="0" borderId="0" xfId="0" applyFont="1" applyFill="1"/>
    <xf numFmtId="0" fontId="8" fillId="0" borderId="1" xfId="0" applyFont="1" applyFill="1" applyBorder="1"/>
    <xf numFmtId="3" fontId="3" fillId="0" borderId="0" xfId="0" applyNumberFormat="1" applyFont="1" applyAlignment="1">
      <alignment horizontal="right"/>
    </xf>
    <xf numFmtId="164" fontId="3" fillId="0" borderId="0" xfId="0" applyNumberFormat="1" applyFont="1" applyBorder="1" applyAlignment="1">
      <alignment horizontal="right"/>
    </xf>
    <xf numFmtId="0" fontId="6" fillId="0" borderId="0" xfId="2" applyFont="1" applyFill="1" applyBorder="1" applyAlignment="1">
      <alignment horizontal="right" vertical="center" wrapText="1"/>
    </xf>
    <xf numFmtId="3" fontId="3" fillId="0" borderId="0" xfId="0" applyNumberFormat="1" applyFont="1" applyFill="1" applyBorder="1" applyAlignment="1">
      <alignment horizontal="right"/>
    </xf>
    <xf numFmtId="0" fontId="6" fillId="0" borderId="8" xfId="2" applyFont="1" applyFill="1" applyBorder="1" applyAlignment="1">
      <alignment horizontal="center" vertical="center" wrapText="1"/>
    </xf>
    <xf numFmtId="0" fontId="6" fillId="0" borderId="9" xfId="2" applyFont="1" applyFill="1" applyBorder="1" applyAlignment="1">
      <alignment horizontal="center" vertical="center" wrapText="1"/>
    </xf>
    <xf numFmtId="0" fontId="6" fillId="0" borderId="10" xfId="2" applyFont="1" applyFill="1" applyBorder="1" applyAlignment="1">
      <alignment horizontal="center" vertical="center" wrapText="1"/>
    </xf>
    <xf numFmtId="0" fontId="4" fillId="0" borderId="0" xfId="0" applyFont="1" applyBorder="1"/>
    <xf numFmtId="164" fontId="3" fillId="0" borderId="23" xfId="0" applyNumberFormat="1" applyFont="1" applyBorder="1" applyAlignment="1">
      <alignment horizontal="right"/>
    </xf>
    <xf numFmtId="164" fontId="3" fillId="0" borderId="1" xfId="0" applyNumberFormat="1" applyFont="1" applyBorder="1" applyAlignment="1">
      <alignment horizontal="right"/>
    </xf>
    <xf numFmtId="0" fontId="6" fillId="0" borderId="0" xfId="2" applyFont="1" applyFill="1" applyBorder="1" applyAlignment="1">
      <alignment horizontal="left" vertical="center"/>
    </xf>
    <xf numFmtId="0" fontId="3" fillId="0" borderId="0" xfId="0" applyFont="1" applyFill="1" applyBorder="1" applyAlignment="1">
      <alignment horizontal="left" vertical="center"/>
    </xf>
    <xf numFmtId="0" fontId="3" fillId="0" borderId="1" xfId="0" applyFont="1" applyBorder="1" applyAlignment="1">
      <alignment horizontal="left" wrapText="1"/>
    </xf>
    <xf numFmtId="165" fontId="3" fillId="0" borderId="0" xfId="0" applyNumberFormat="1" applyFont="1"/>
    <xf numFmtId="0" fontId="10" fillId="0" borderId="0" xfId="3" applyFont="1"/>
    <xf numFmtId="0" fontId="10" fillId="0" borderId="0" xfId="3" applyFont="1" applyAlignment="1">
      <alignment wrapText="1"/>
    </xf>
    <xf numFmtId="0" fontId="5" fillId="0" borderId="0" xfId="0" applyFont="1" applyAlignment="1">
      <alignment horizontal="left" vertical="center" wrapText="1"/>
    </xf>
    <xf numFmtId="0" fontId="3" fillId="0" borderId="0" xfId="0" applyFont="1" applyAlignment="1">
      <alignment horizontal="left" vertical="center" wrapText="1"/>
    </xf>
    <xf numFmtId="164" fontId="3" fillId="0" borderId="23" xfId="0" applyNumberFormat="1" applyFont="1" applyBorder="1" applyAlignment="1"/>
    <xf numFmtId="0" fontId="3" fillId="0" borderId="0" xfId="0" applyFont="1" applyBorder="1" applyAlignment="1">
      <alignment wrapText="1"/>
    </xf>
    <xf numFmtId="0" fontId="3" fillId="0" borderId="0" xfId="0" applyFont="1" applyFill="1" applyBorder="1" applyAlignment="1">
      <alignment wrapText="1"/>
    </xf>
    <xf numFmtId="0" fontId="3" fillId="0" borderId="27" xfId="0" applyFont="1" applyFill="1" applyBorder="1" applyAlignment="1">
      <alignment wrapText="1"/>
    </xf>
    <xf numFmtId="3" fontId="6" fillId="0" borderId="27" xfId="2" applyNumberFormat="1" applyFont="1" applyFill="1" applyBorder="1" applyAlignment="1">
      <alignment wrapText="1"/>
    </xf>
    <xf numFmtId="0" fontId="6" fillId="0" borderId="27" xfId="2" applyFont="1" applyFill="1" applyBorder="1" applyAlignment="1">
      <alignment horizontal="center" wrapText="1"/>
    </xf>
    <xf numFmtId="0" fontId="3" fillId="2" borderId="0" xfId="0" applyFont="1" applyFill="1"/>
    <xf numFmtId="0" fontId="11" fillId="2" borderId="0" xfId="0" applyFont="1" applyFill="1" applyAlignment="1">
      <alignment wrapText="1"/>
    </xf>
    <xf numFmtId="14" fontId="3" fillId="0" borderId="0" xfId="0" applyNumberFormat="1" applyFont="1"/>
    <xf numFmtId="0" fontId="3" fillId="0" borderId="7" xfId="0" applyFont="1" applyBorder="1" applyAlignment="1">
      <alignment horizontal="center" vertical="center" wrapText="1"/>
    </xf>
    <xf numFmtId="0" fontId="3" fillId="0" borderId="19" xfId="0" applyFont="1" applyBorder="1" applyAlignment="1">
      <alignment horizontal="center" vertical="center" wrapText="1"/>
    </xf>
    <xf numFmtId="0" fontId="6" fillId="0" borderId="21" xfId="2" applyFont="1" applyFill="1" applyBorder="1" applyAlignment="1">
      <alignment horizontal="center" vertical="center" wrapText="1"/>
    </xf>
    <xf numFmtId="0" fontId="6" fillId="0" borderId="22" xfId="2" applyFont="1" applyFill="1" applyBorder="1" applyAlignment="1">
      <alignment horizontal="center" vertical="center" wrapText="1"/>
    </xf>
    <xf numFmtId="0" fontId="6" fillId="0" borderId="3" xfId="2" applyFont="1" applyFill="1" applyBorder="1" applyAlignment="1">
      <alignment horizontal="center" vertical="center" wrapText="1"/>
    </xf>
    <xf numFmtId="0" fontId="6" fillId="0" borderId="4" xfId="2" applyFont="1" applyFill="1" applyBorder="1" applyAlignment="1">
      <alignment horizontal="center" vertical="center" wrapText="1"/>
    </xf>
    <xf numFmtId="0" fontId="6" fillId="0" borderId="5" xfId="2" applyFont="1" applyFill="1" applyBorder="1" applyAlignment="1">
      <alignment horizontal="center" vertical="center" wrapText="1"/>
    </xf>
    <xf numFmtId="0" fontId="3" fillId="0" borderId="16" xfId="0" applyFont="1" applyBorder="1" applyAlignment="1">
      <alignment horizontal="center"/>
    </xf>
    <xf numFmtId="0" fontId="3" fillId="0" borderId="11" xfId="0" applyFont="1" applyBorder="1" applyAlignment="1">
      <alignment horizontal="center"/>
    </xf>
    <xf numFmtId="0" fontId="3" fillId="0" borderId="20" xfId="0" applyFont="1" applyBorder="1" applyAlignment="1">
      <alignment horizontal="center" wrapText="1"/>
    </xf>
    <xf numFmtId="0" fontId="3" fillId="0" borderId="0" xfId="0" applyFont="1" applyBorder="1" applyAlignment="1">
      <alignment horizontal="center" wrapText="1"/>
    </xf>
    <xf numFmtId="0" fontId="3"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3" fillId="0" borderId="15" xfId="0" applyFont="1" applyBorder="1" applyAlignment="1">
      <alignment horizontal="center"/>
    </xf>
    <xf numFmtId="0" fontId="6" fillId="0" borderId="1" xfId="2" applyFont="1" applyFill="1" applyBorder="1" applyAlignment="1">
      <alignment horizontal="center" vertical="center" wrapText="1"/>
    </xf>
    <xf numFmtId="164" fontId="3" fillId="0" borderId="3" xfId="0" applyNumberFormat="1" applyFont="1" applyFill="1" applyBorder="1" applyAlignment="1">
      <alignment horizontal="center" vertical="center" wrapText="1"/>
    </xf>
    <xf numFmtId="164" fontId="3" fillId="0" borderId="4" xfId="0" applyNumberFormat="1" applyFont="1" applyFill="1" applyBorder="1" applyAlignment="1">
      <alignment horizontal="center" vertical="center" wrapText="1"/>
    </xf>
    <xf numFmtId="164" fontId="3" fillId="0" borderId="5" xfId="0" applyNumberFormat="1" applyFont="1" applyFill="1" applyBorder="1" applyAlignment="1">
      <alignment horizontal="center" vertical="center" wrapText="1"/>
    </xf>
    <xf numFmtId="0" fontId="6" fillId="0" borderId="28" xfId="2" applyFont="1" applyFill="1" applyBorder="1" applyAlignment="1">
      <alignment horizontal="center" vertical="center" wrapText="1"/>
    </xf>
    <xf numFmtId="0" fontId="6" fillId="0" borderId="23" xfId="2" applyFont="1" applyFill="1" applyBorder="1" applyAlignment="1">
      <alignment horizontal="center" vertical="center" wrapText="1"/>
    </xf>
    <xf numFmtId="0" fontId="4" fillId="0" borderId="24" xfId="0" applyFont="1" applyBorder="1" applyAlignment="1">
      <alignment horizontal="center"/>
    </xf>
    <xf numFmtId="0" fontId="4" fillId="0" borderId="25" xfId="0" applyFont="1" applyBorder="1" applyAlignment="1">
      <alignment horizontal="center"/>
    </xf>
    <xf numFmtId="0" fontId="4" fillId="0" borderId="26" xfId="0" applyFont="1" applyBorder="1" applyAlignment="1">
      <alignment horizontal="center"/>
    </xf>
    <xf numFmtId="0" fontId="6" fillId="0" borderId="17" xfId="2" applyFont="1" applyFill="1" applyBorder="1" applyAlignment="1">
      <alignment horizontal="center" vertical="center" wrapText="1"/>
    </xf>
    <xf numFmtId="0" fontId="6" fillId="0" borderId="18" xfId="2" applyFont="1" applyFill="1" applyBorder="1" applyAlignment="1">
      <alignment horizontal="center" vertical="center" wrapText="1"/>
    </xf>
  </cellXfs>
  <cellStyles count="4">
    <cellStyle name="Link" xfId="3" builtinId="8"/>
    <cellStyle name="Prozent" xfId="1" builtinId="5"/>
    <cellStyle name="Standard" xfId="0" builtinId="0"/>
    <cellStyle name="Standard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3</xdr:colOff>
      <xdr:row>0</xdr:row>
      <xdr:rowOff>2</xdr:rowOff>
    </xdr:from>
    <xdr:to>
      <xdr:col>2</xdr:col>
      <xdr:colOff>47614</xdr:colOff>
      <xdr:row>0</xdr:row>
      <xdr:rowOff>634288</xdr:rowOff>
    </xdr:to>
    <xdr:pic>
      <xdr:nvPicPr>
        <xdr:cNvPr id="4" name="Grafik 3"/>
        <xdr:cNvPicPr>
          <a:picLocks noChangeAspect="1"/>
        </xdr:cNvPicPr>
      </xdr:nvPicPr>
      <xdr:blipFill>
        <a:blip xmlns:r="http://schemas.openxmlformats.org/officeDocument/2006/relationships" r:embed="rId1"/>
        <a:stretch>
          <a:fillRect/>
        </a:stretch>
      </xdr:blipFill>
      <xdr:spPr>
        <a:xfrm>
          <a:off x="3" y="2"/>
          <a:ext cx="6351429" cy="634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1407954</xdr:colOff>
      <xdr:row>0</xdr:row>
      <xdr:rowOff>634286</xdr:rowOff>
    </xdr:to>
    <xdr:pic>
      <xdr:nvPicPr>
        <xdr:cNvPr id="3" name="Grafik 2"/>
        <xdr:cNvPicPr>
          <a:picLocks noChangeAspect="1"/>
        </xdr:cNvPicPr>
      </xdr:nvPicPr>
      <xdr:blipFill>
        <a:blip xmlns:r="http://schemas.openxmlformats.org/officeDocument/2006/relationships" r:embed="rId1"/>
        <a:stretch>
          <a:fillRect/>
        </a:stretch>
      </xdr:blipFill>
      <xdr:spPr>
        <a:xfrm>
          <a:off x="0" y="0"/>
          <a:ext cx="6351429" cy="6342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5398929</xdr:colOff>
      <xdr:row>0</xdr:row>
      <xdr:rowOff>634286</xdr:rowOff>
    </xdr:to>
    <xdr:pic>
      <xdr:nvPicPr>
        <xdr:cNvPr id="3" name="Grafik 2"/>
        <xdr:cNvPicPr>
          <a:picLocks noChangeAspect="1"/>
        </xdr:cNvPicPr>
      </xdr:nvPicPr>
      <xdr:blipFill>
        <a:blip xmlns:r="http://schemas.openxmlformats.org/officeDocument/2006/relationships" r:embed="rId1"/>
        <a:stretch>
          <a:fillRect/>
        </a:stretch>
      </xdr:blipFill>
      <xdr:spPr>
        <a:xfrm>
          <a:off x="0" y="0"/>
          <a:ext cx="6351429" cy="6342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118038</xdr:colOff>
      <xdr:row>0</xdr:row>
      <xdr:rowOff>634039</xdr:rowOff>
    </xdr:to>
    <xdr:pic>
      <xdr:nvPicPr>
        <xdr:cNvPr id="5" name="Grafik 4"/>
        <xdr:cNvPicPr>
          <a:picLocks noChangeAspect="1"/>
        </xdr:cNvPicPr>
      </xdr:nvPicPr>
      <xdr:blipFill>
        <a:blip xmlns:r="http://schemas.openxmlformats.org/officeDocument/2006/relationships" r:embed="rId1"/>
        <a:stretch>
          <a:fillRect/>
        </a:stretch>
      </xdr:blipFill>
      <xdr:spPr>
        <a:xfrm>
          <a:off x="0" y="0"/>
          <a:ext cx="6352583" cy="63403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542333</xdr:colOff>
      <xdr:row>0</xdr:row>
      <xdr:rowOff>634039</xdr:rowOff>
    </xdr:to>
    <xdr:pic>
      <xdr:nvPicPr>
        <xdr:cNvPr id="2" name="Grafik 1"/>
        <xdr:cNvPicPr>
          <a:picLocks noChangeAspect="1"/>
        </xdr:cNvPicPr>
      </xdr:nvPicPr>
      <xdr:blipFill>
        <a:blip xmlns:r="http://schemas.openxmlformats.org/officeDocument/2006/relationships" r:embed="rId1"/>
        <a:stretch>
          <a:fillRect/>
        </a:stretch>
      </xdr:blipFill>
      <xdr:spPr>
        <a:xfrm>
          <a:off x="0" y="0"/>
          <a:ext cx="6352583" cy="634039"/>
        </a:xfrm>
        <a:prstGeom prst="rect">
          <a:avLst/>
        </a:prstGeom>
      </xdr:spPr>
    </xdr:pic>
    <xdr:clientData/>
  </xdr:twoCellAnchor>
</xdr:wsDr>
</file>

<file path=xl/theme/theme1.xml><?xml version="1.0" encoding="utf-8"?>
<a:theme xmlns:a="http://schemas.openxmlformats.org/drawingml/2006/main" name="BMLRT_Excel_Design">
  <a:themeElements>
    <a:clrScheme name="Republik-AT">
      <a:dk1>
        <a:srgbClr val="000000"/>
      </a:dk1>
      <a:lt1>
        <a:srgbClr val="E6EFF3"/>
      </a:lt1>
      <a:dk2>
        <a:srgbClr val="E6320F"/>
      </a:dk2>
      <a:lt2>
        <a:srgbClr val="FFFFFF"/>
      </a:lt2>
      <a:accent1>
        <a:srgbClr val="CA0237"/>
      </a:accent1>
      <a:accent2>
        <a:srgbClr val="5FB564"/>
      </a:accent2>
      <a:accent3>
        <a:srgbClr val="950F53"/>
      </a:accent3>
      <a:accent4>
        <a:srgbClr val="F59C00"/>
      </a:accent4>
      <a:accent5>
        <a:srgbClr val="3BACBE"/>
      </a:accent5>
      <a:accent6>
        <a:srgbClr val="BCCF00"/>
      </a:accent6>
      <a:hlink>
        <a:srgbClr val="1C1C1C"/>
      </a:hlink>
      <a:folHlink>
        <a:srgbClr val="636362"/>
      </a:folHlink>
    </a:clrScheme>
    <a:fontScheme name="BKA2018-Schriften">
      <a:majorFont>
        <a:latin typeface="Corbel"/>
        <a:ea typeface=""/>
        <a:cs typeface=""/>
      </a:majorFont>
      <a:minorFont>
        <a:latin typeface="Corbel"/>
        <a:ea typeface=""/>
        <a:cs typeface=""/>
      </a:minorFont>
    </a:fontScheme>
    <a:fmtScheme name="Klarheit">
      <a:fillStyleLst>
        <a:solidFill>
          <a:schemeClr val="phClr"/>
        </a:solidFill>
        <a:gradFill rotWithShape="1">
          <a:gsLst>
            <a:gs pos="0">
              <a:schemeClr val="phClr">
                <a:tint val="50000"/>
                <a:shade val="86000"/>
                <a:satMod val="140000"/>
              </a:schemeClr>
            </a:gs>
            <a:gs pos="45000">
              <a:schemeClr val="phClr">
                <a:tint val="48000"/>
                <a:satMod val="150000"/>
              </a:schemeClr>
            </a:gs>
            <a:gs pos="100000">
              <a:schemeClr val="phClr">
                <a:tint val="28000"/>
                <a:satMod val="160000"/>
              </a:schemeClr>
            </a:gs>
          </a:gsLst>
          <a:path path="circle">
            <a:fillToRect l="100000" t="100000" r="100000" b="100000"/>
          </a:path>
        </a:gradFill>
        <a:gradFill rotWithShape="1">
          <a:gsLst>
            <a:gs pos="0">
              <a:schemeClr val="phClr">
                <a:shade val="70000"/>
                <a:satMod val="150000"/>
              </a:schemeClr>
            </a:gs>
            <a:gs pos="34000">
              <a:schemeClr val="phClr">
                <a:shade val="70000"/>
                <a:satMod val="140000"/>
              </a:schemeClr>
            </a:gs>
            <a:gs pos="70000">
              <a:schemeClr val="phClr">
                <a:tint val="100000"/>
                <a:shade val="90000"/>
                <a:satMod val="140000"/>
              </a:schemeClr>
            </a:gs>
            <a:gs pos="100000">
              <a:schemeClr val="phClr">
                <a:tint val="100000"/>
                <a:shade val="100000"/>
                <a:satMod val="100000"/>
              </a:schemeClr>
            </a:gs>
          </a:gsLst>
          <a:path path="circle">
            <a:fillToRect l="100000" t="100000" r="100000" b="100000"/>
          </a:path>
        </a:gradFill>
      </a:fillStyleLst>
      <a:lnStyleLst>
        <a:ln w="9525" cap="flat" cmpd="sng" algn="ctr">
          <a:solidFill>
            <a:schemeClr val="phClr"/>
          </a:solidFill>
          <a:prstDash val="solid"/>
        </a:ln>
        <a:ln w="26425" cap="flat" cmpd="sng" algn="ctr">
          <a:solidFill>
            <a:schemeClr val="phClr"/>
          </a:solidFill>
          <a:prstDash val="solid"/>
        </a:ln>
        <a:ln w="4445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38100" dist="25400" dir="2700000" algn="br" rotWithShape="0">
              <a:srgbClr val="000000">
                <a:alpha val="60000"/>
              </a:srgbClr>
            </a:outerShdw>
          </a:effectLst>
          <a:scene3d>
            <a:camera prst="orthographicFront">
              <a:rot lat="0" lon="0" rev="0"/>
            </a:camera>
            <a:lightRig rig="balanced" dir="t">
              <a:rot lat="0" lon="0" rev="5100000"/>
            </a:lightRig>
          </a:scene3d>
          <a:sp3d contourW="6350">
            <a:bevelT w="29210" h="12700"/>
            <a:contourClr>
              <a:schemeClr val="phClr">
                <a:shade val="30000"/>
                <a:satMod val="13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BMLRT-PPT-4x3-Calibri" id="{45F9A756-940F-42C8-9FF2-D3A3CCF2C175}" vid="{0822C949-29A1-4C7A-9BEF-B3E6477EBE8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info.bmlrt.gv.at/dam/jcr:23a0a2fe-3b8c-4964-b398-01c3b184debf/Wasserschatz_%C3%96sterreichs_Hintergrunddokument.pdf" TargetMode="External"/><Relationship Id="rId1" Type="http://schemas.openxmlformats.org/officeDocument/2006/relationships/hyperlink" Target="https://info.bmlrt.gv.at/dam/jcr:75a703dd-9c25-452a-ac06-5240abbd118a/Bericht_Wasserschatz.pdf"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zoomScale="110" zoomScaleNormal="110" workbookViewId="0">
      <selection activeCell="C27" sqref="C27"/>
    </sheetView>
  </sheetViews>
  <sheetFormatPr baseColWidth="10" defaultRowHeight="15.75" customHeight="1" x14ac:dyDescent="0.2"/>
  <cols>
    <col min="1" max="1" width="21.5" style="5" customWidth="1"/>
    <col min="2" max="2" width="61.25" style="6" customWidth="1"/>
    <col min="3" max="5" width="11" style="1"/>
    <col min="6" max="6" width="57.875" style="1" customWidth="1"/>
    <col min="7" max="16384" width="11" style="1"/>
  </cols>
  <sheetData>
    <row r="1" spans="1:7" ht="52.5" customHeight="1" x14ac:dyDescent="0.3">
      <c r="C1" s="74"/>
      <c r="D1" s="74"/>
      <c r="E1" s="74"/>
      <c r="F1" s="75"/>
      <c r="G1" s="74"/>
    </row>
    <row r="2" spans="1:7" ht="15.75" customHeight="1" x14ac:dyDescent="0.2">
      <c r="B2" s="6" t="s">
        <v>425</v>
      </c>
    </row>
    <row r="3" spans="1:7" ht="15.75" customHeight="1" x14ac:dyDescent="0.2">
      <c r="A3" s="7" t="s">
        <v>415</v>
      </c>
      <c r="B3" s="5"/>
    </row>
    <row r="4" spans="1:7" ht="51" x14ac:dyDescent="0.2">
      <c r="A4" s="5" t="s">
        <v>283</v>
      </c>
      <c r="B4" s="6" t="s">
        <v>447</v>
      </c>
    </row>
    <row r="5" spans="1:7" ht="30" x14ac:dyDescent="0.25">
      <c r="B5" s="65" t="s">
        <v>446</v>
      </c>
      <c r="C5" s="64"/>
    </row>
    <row r="6" spans="1:7" ht="12.75" x14ac:dyDescent="0.2">
      <c r="A6" s="5" t="s">
        <v>413</v>
      </c>
      <c r="B6" s="6" t="s">
        <v>414</v>
      </c>
    </row>
    <row r="7" spans="1:7" ht="71.25" customHeight="1" x14ac:dyDescent="0.2">
      <c r="A7" s="5" t="s">
        <v>284</v>
      </c>
      <c r="B7" s="6" t="s">
        <v>445</v>
      </c>
    </row>
    <row r="8" spans="1:7" ht="25.5" x14ac:dyDescent="0.2">
      <c r="A8" s="5" t="s">
        <v>285</v>
      </c>
      <c r="B8" s="8" t="s">
        <v>356</v>
      </c>
    </row>
    <row r="9" spans="1:7" ht="38.25" x14ac:dyDescent="0.2">
      <c r="A9" s="5" t="s">
        <v>286</v>
      </c>
      <c r="B9" s="6" t="s">
        <v>448</v>
      </c>
    </row>
    <row r="10" spans="1:7" ht="25.5" x14ac:dyDescent="0.2">
      <c r="A10" s="5" t="s">
        <v>416</v>
      </c>
      <c r="B10" s="6" t="s">
        <v>449</v>
      </c>
    </row>
    <row r="11" spans="1:7" ht="30" x14ac:dyDescent="0.25">
      <c r="B11" s="65" t="s">
        <v>417</v>
      </c>
      <c r="C11" s="64"/>
    </row>
    <row r="12" spans="1:7" ht="92.25" customHeight="1" x14ac:dyDescent="0.2">
      <c r="A12" s="5" t="s">
        <v>287</v>
      </c>
      <c r="B12" s="6" t="s">
        <v>288</v>
      </c>
    </row>
    <row r="14" spans="1:7" ht="27.75" customHeight="1" x14ac:dyDescent="0.2">
      <c r="A14" s="7" t="s">
        <v>429</v>
      </c>
      <c r="B14" s="6" t="s">
        <v>419</v>
      </c>
    </row>
    <row r="16" spans="1:7" ht="63.75" x14ac:dyDescent="0.2">
      <c r="A16" s="7" t="s">
        <v>430</v>
      </c>
      <c r="B16" s="9" t="s">
        <v>450</v>
      </c>
    </row>
    <row r="17" spans="1:3" ht="38.25" x14ac:dyDescent="0.2">
      <c r="B17" s="6" t="s">
        <v>420</v>
      </c>
    </row>
    <row r="18" spans="1:3" ht="51" x14ac:dyDescent="0.2">
      <c r="A18" s="7" t="s">
        <v>431</v>
      </c>
      <c r="B18" s="5" t="s">
        <v>451</v>
      </c>
    </row>
    <row r="19" spans="1:3" ht="15.75" customHeight="1" x14ac:dyDescent="0.2">
      <c r="B19" s="6" t="s">
        <v>345</v>
      </c>
    </row>
    <row r="20" spans="1:3" ht="15.75" customHeight="1" x14ac:dyDescent="0.2">
      <c r="B20" s="6" t="s">
        <v>346</v>
      </c>
    </row>
    <row r="21" spans="1:3" ht="15.75" customHeight="1" x14ac:dyDescent="0.2">
      <c r="B21" s="6" t="s">
        <v>347</v>
      </c>
    </row>
    <row r="22" spans="1:3" ht="15.75" customHeight="1" x14ac:dyDescent="0.2">
      <c r="B22" s="6" t="s">
        <v>348</v>
      </c>
    </row>
    <row r="23" spans="1:3" ht="15.75" customHeight="1" x14ac:dyDescent="0.2">
      <c r="B23" s="6" t="s">
        <v>349</v>
      </c>
    </row>
    <row r="24" spans="1:3" ht="15.75" customHeight="1" x14ac:dyDescent="0.2">
      <c r="B24" s="6" t="s">
        <v>350</v>
      </c>
    </row>
    <row r="25" spans="1:3" ht="63.75" x14ac:dyDescent="0.2">
      <c r="A25" s="7" t="s">
        <v>432</v>
      </c>
      <c r="B25" s="6" t="s">
        <v>452</v>
      </c>
    </row>
    <row r="26" spans="1:3" ht="38.25" x14ac:dyDescent="0.2">
      <c r="B26" s="6" t="s">
        <v>438</v>
      </c>
    </row>
    <row r="27" spans="1:3" ht="51" x14ac:dyDescent="0.2">
      <c r="B27" s="9" t="s">
        <v>428</v>
      </c>
    </row>
    <row r="28" spans="1:3" ht="15.75" customHeight="1" x14ac:dyDescent="0.2">
      <c r="A28" s="5" t="s">
        <v>456</v>
      </c>
      <c r="B28" s="6" t="s">
        <v>457</v>
      </c>
      <c r="C28" s="76" t="s">
        <v>458</v>
      </c>
    </row>
    <row r="29" spans="1:3" ht="12.75" x14ac:dyDescent="0.2"/>
    <row r="33" spans="2:2" ht="15.75" customHeight="1" x14ac:dyDescent="0.2">
      <c r="B33" s="66"/>
    </row>
    <row r="34" spans="2:2" ht="15.75" customHeight="1" x14ac:dyDescent="0.2">
      <c r="B34" s="67"/>
    </row>
    <row r="35" spans="2:2" ht="15.75" customHeight="1" x14ac:dyDescent="0.2">
      <c r="B35" s="67"/>
    </row>
    <row r="36" spans="2:2" ht="15.75" customHeight="1" x14ac:dyDescent="0.2">
      <c r="B36" s="67"/>
    </row>
  </sheetData>
  <hyperlinks>
    <hyperlink ref="B5" r:id="rId1"/>
    <hyperlink ref="B11" r:id="rId2"/>
  </hyperlinks>
  <pageMargins left="0.70866141732283472" right="0.70866141732283472" top="1.1811023622047245" bottom="0.78740157480314965" header="0.51181102362204722" footer="0.31496062992125984"/>
  <pageSetup paperSize="9" orientation="portrait" r:id="rId3"/>
  <headerFooter>
    <oddFooter>&amp;L
Grundlagen für nachhaltige Nutzungen des Grundwassers.
&amp;R&amp;Pvon &amp;N</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4"/>
  <sheetViews>
    <sheetView zoomScaleNormal="100" workbookViewId="0">
      <selection activeCell="D1" sqref="D1"/>
    </sheetView>
  </sheetViews>
  <sheetFormatPr baseColWidth="10" defaultRowHeight="15.75" customHeight="1" x14ac:dyDescent="0.2"/>
  <cols>
    <col min="1" max="1" width="10.25" style="1" customWidth="1"/>
    <col min="2" max="2" width="54.625" style="1" customWidth="1"/>
    <col min="3" max="3" width="24.25" style="1" customWidth="1"/>
    <col min="4" max="4" width="11" style="29"/>
    <col min="5" max="16384" width="11" style="1"/>
  </cols>
  <sheetData>
    <row r="1" spans="1:4" ht="51.75" customHeight="1" x14ac:dyDescent="0.2"/>
    <row r="2" spans="1:4" ht="15.75" customHeight="1" x14ac:dyDescent="0.2">
      <c r="A2" s="1" t="s">
        <v>427</v>
      </c>
    </row>
    <row r="3" spans="1:4" ht="15.75" customHeight="1" x14ac:dyDescent="0.2">
      <c r="A3" s="1" t="s">
        <v>434</v>
      </c>
      <c r="D3" s="29">
        <f>SUM(D6:D94)</f>
        <v>83602.859843343307</v>
      </c>
    </row>
    <row r="4" spans="1:4" ht="15.75" customHeight="1" x14ac:dyDescent="0.2">
      <c r="A4" s="1" t="s">
        <v>435</v>
      </c>
      <c r="D4" s="29">
        <f>SUBTOTAL(9,D6:D94)</f>
        <v>83602.859843343307</v>
      </c>
    </row>
    <row r="5" spans="1:4" s="5" customFormat="1" ht="25.5" x14ac:dyDescent="0.2">
      <c r="A5" s="62" t="s">
        <v>443</v>
      </c>
      <c r="B5" s="30" t="s">
        <v>442</v>
      </c>
      <c r="C5" s="30" t="s">
        <v>357</v>
      </c>
      <c r="D5" s="31" t="s">
        <v>339</v>
      </c>
    </row>
    <row r="6" spans="1:4" ht="15.75" customHeight="1" x14ac:dyDescent="0.2">
      <c r="A6" s="23">
        <v>1</v>
      </c>
      <c r="B6" s="23" t="s">
        <v>367</v>
      </c>
      <c r="C6" s="23" t="s">
        <v>358</v>
      </c>
      <c r="D6" s="32">
        <v>665.58324997570003</v>
      </c>
    </row>
    <row r="7" spans="1:4" ht="15.75" customHeight="1" x14ac:dyDescent="0.2">
      <c r="A7" s="23">
        <v>2</v>
      </c>
      <c r="B7" s="23" t="s">
        <v>368</v>
      </c>
      <c r="C7" s="23" t="s">
        <v>358</v>
      </c>
      <c r="D7" s="32">
        <v>611.09944774070004</v>
      </c>
    </row>
    <row r="8" spans="1:4" ht="15.75" customHeight="1" x14ac:dyDescent="0.2">
      <c r="A8" s="23">
        <v>3</v>
      </c>
      <c r="B8" s="23" t="s">
        <v>369</v>
      </c>
      <c r="C8" s="23" t="s">
        <v>359</v>
      </c>
      <c r="D8" s="32">
        <v>663.23127034410004</v>
      </c>
    </row>
    <row r="9" spans="1:4" ht="15.75" customHeight="1" x14ac:dyDescent="0.2">
      <c r="A9" s="23">
        <v>4</v>
      </c>
      <c r="B9" s="23" t="s">
        <v>249</v>
      </c>
      <c r="C9" s="23" t="s">
        <v>358</v>
      </c>
      <c r="D9" s="32">
        <v>3325.7722236899999</v>
      </c>
    </row>
    <row r="10" spans="1:4" ht="15.75" customHeight="1" x14ac:dyDescent="0.2">
      <c r="A10" s="23">
        <v>5</v>
      </c>
      <c r="B10" s="23" t="s">
        <v>49</v>
      </c>
      <c r="C10" s="23" t="s">
        <v>358</v>
      </c>
      <c r="D10" s="32">
        <v>1228.1839055099999</v>
      </c>
    </row>
    <row r="11" spans="1:4" ht="15.75" customHeight="1" x14ac:dyDescent="0.2">
      <c r="A11" s="23">
        <v>6</v>
      </c>
      <c r="B11" s="23" t="s">
        <v>370</v>
      </c>
      <c r="C11" s="23" t="s">
        <v>360</v>
      </c>
      <c r="D11" s="32">
        <v>1335.2265394463002</v>
      </c>
    </row>
    <row r="12" spans="1:4" ht="15.75" customHeight="1" x14ac:dyDescent="0.2">
      <c r="A12" s="23">
        <v>7</v>
      </c>
      <c r="B12" s="23" t="s">
        <v>371</v>
      </c>
      <c r="C12" s="23" t="s">
        <v>361</v>
      </c>
      <c r="D12" s="32">
        <v>833.25853924400008</v>
      </c>
    </row>
    <row r="13" spans="1:4" ht="15.75" customHeight="1" x14ac:dyDescent="0.2">
      <c r="A13" s="23">
        <v>8</v>
      </c>
      <c r="B13" s="23" t="s">
        <v>372</v>
      </c>
      <c r="C13" s="23" t="s">
        <v>361</v>
      </c>
      <c r="D13" s="32">
        <v>1595.5389284211001</v>
      </c>
    </row>
    <row r="14" spans="1:4" ht="15.75" customHeight="1" x14ac:dyDescent="0.2">
      <c r="A14" s="23">
        <v>9</v>
      </c>
      <c r="B14" s="23" t="s">
        <v>247</v>
      </c>
      <c r="C14" s="23" t="s">
        <v>358</v>
      </c>
      <c r="D14" s="32">
        <v>769.17724359199997</v>
      </c>
    </row>
    <row r="15" spans="1:4" ht="15.75" customHeight="1" x14ac:dyDescent="0.2">
      <c r="A15" s="23">
        <v>10</v>
      </c>
      <c r="B15" s="23" t="s">
        <v>373</v>
      </c>
      <c r="C15" s="23" t="s">
        <v>360</v>
      </c>
      <c r="D15" s="32">
        <v>1187.9639543077999</v>
      </c>
    </row>
    <row r="16" spans="1:4" ht="15.75" customHeight="1" x14ac:dyDescent="0.2">
      <c r="A16" s="23">
        <v>11</v>
      </c>
      <c r="B16" s="23" t="s">
        <v>374</v>
      </c>
      <c r="C16" s="23" t="s">
        <v>358</v>
      </c>
      <c r="D16" s="32">
        <v>952.48200070099995</v>
      </c>
    </row>
    <row r="17" spans="1:4" ht="15.75" customHeight="1" x14ac:dyDescent="0.2">
      <c r="A17" s="23">
        <v>12</v>
      </c>
      <c r="B17" s="23" t="s">
        <v>235</v>
      </c>
      <c r="C17" s="23" t="s">
        <v>361</v>
      </c>
      <c r="D17" s="32">
        <v>862.49791181299997</v>
      </c>
    </row>
    <row r="18" spans="1:4" ht="15.75" customHeight="1" x14ac:dyDescent="0.2">
      <c r="A18" s="23">
        <v>13</v>
      </c>
      <c r="B18" s="23" t="s">
        <v>375</v>
      </c>
      <c r="C18" s="23" t="s">
        <v>359</v>
      </c>
      <c r="D18" s="32">
        <v>1848.2324274119999</v>
      </c>
    </row>
    <row r="19" spans="1:4" ht="15.75" customHeight="1" x14ac:dyDescent="0.2">
      <c r="A19" s="23">
        <v>14</v>
      </c>
      <c r="B19" s="23" t="s">
        <v>376</v>
      </c>
      <c r="C19" s="23" t="s">
        <v>359</v>
      </c>
      <c r="D19" s="32">
        <v>1658.3001541902997</v>
      </c>
    </row>
    <row r="20" spans="1:4" ht="15.75" customHeight="1" x14ac:dyDescent="0.2">
      <c r="A20" s="23">
        <v>15</v>
      </c>
      <c r="B20" s="23" t="s">
        <v>377</v>
      </c>
      <c r="C20" s="23" t="s">
        <v>358</v>
      </c>
      <c r="D20" s="32">
        <v>483.88227876799999</v>
      </c>
    </row>
    <row r="21" spans="1:4" ht="15.75" customHeight="1" x14ac:dyDescent="0.2">
      <c r="A21" s="23">
        <v>16</v>
      </c>
      <c r="B21" s="23" t="s">
        <v>277</v>
      </c>
      <c r="C21" s="23" t="s">
        <v>360</v>
      </c>
      <c r="D21" s="32">
        <v>367.00949063799999</v>
      </c>
    </row>
    <row r="22" spans="1:4" ht="15.75" customHeight="1" x14ac:dyDescent="0.2">
      <c r="A22" s="23">
        <v>17</v>
      </c>
      <c r="B22" s="23" t="s">
        <v>278</v>
      </c>
      <c r="C22" s="23" t="s">
        <v>358</v>
      </c>
      <c r="D22" s="32">
        <v>1124.8502254160001</v>
      </c>
    </row>
    <row r="23" spans="1:4" ht="15.75" customHeight="1" x14ac:dyDescent="0.2">
      <c r="A23" s="23">
        <v>18</v>
      </c>
      <c r="B23" s="23" t="s">
        <v>139</v>
      </c>
      <c r="C23" s="23" t="s">
        <v>358</v>
      </c>
      <c r="D23" s="32">
        <v>2008.00650036</v>
      </c>
    </row>
    <row r="24" spans="1:4" ht="15.75" customHeight="1" x14ac:dyDescent="0.2">
      <c r="A24" s="23">
        <v>19</v>
      </c>
      <c r="B24" s="23" t="s">
        <v>61</v>
      </c>
      <c r="C24" s="23" t="s">
        <v>358</v>
      </c>
      <c r="D24" s="32">
        <v>1346.84379835</v>
      </c>
    </row>
    <row r="25" spans="1:4" ht="15.75" customHeight="1" x14ac:dyDescent="0.2">
      <c r="A25" s="23">
        <v>20</v>
      </c>
      <c r="B25" s="23" t="s">
        <v>53</v>
      </c>
      <c r="C25" s="23" t="s">
        <v>358</v>
      </c>
      <c r="D25" s="32">
        <v>586.59253876900004</v>
      </c>
    </row>
    <row r="26" spans="1:4" ht="15.75" customHeight="1" x14ac:dyDescent="0.2">
      <c r="A26" s="23">
        <v>21</v>
      </c>
      <c r="B26" s="23" t="s">
        <v>41</v>
      </c>
      <c r="C26" s="23" t="s">
        <v>358</v>
      </c>
      <c r="D26" s="32">
        <v>941.72750863299996</v>
      </c>
    </row>
    <row r="27" spans="1:4" ht="15.75" customHeight="1" x14ac:dyDescent="0.2">
      <c r="A27" s="23">
        <v>22</v>
      </c>
      <c r="B27" s="23" t="s">
        <v>91</v>
      </c>
      <c r="C27" s="23" t="s">
        <v>359</v>
      </c>
      <c r="D27" s="32">
        <v>716.04483048099996</v>
      </c>
    </row>
    <row r="28" spans="1:4" ht="15.75" customHeight="1" x14ac:dyDescent="0.2">
      <c r="A28" s="23">
        <v>23</v>
      </c>
      <c r="B28" s="23" t="s">
        <v>31</v>
      </c>
      <c r="C28" s="23" t="s">
        <v>359</v>
      </c>
      <c r="D28" s="32">
        <v>570.30097728500004</v>
      </c>
    </row>
    <row r="29" spans="1:4" ht="15.75" customHeight="1" x14ac:dyDescent="0.2">
      <c r="A29" s="23">
        <v>24</v>
      </c>
      <c r="B29" s="23" t="s">
        <v>378</v>
      </c>
      <c r="C29" s="23" t="s">
        <v>359</v>
      </c>
      <c r="D29" s="32">
        <v>842.97664443899998</v>
      </c>
    </row>
    <row r="30" spans="1:4" ht="15.75" customHeight="1" x14ac:dyDescent="0.2">
      <c r="A30" s="23">
        <v>25</v>
      </c>
      <c r="B30" s="23" t="s">
        <v>81</v>
      </c>
      <c r="C30" s="23" t="s">
        <v>359</v>
      </c>
      <c r="D30" s="32">
        <v>205.07953644299999</v>
      </c>
    </row>
    <row r="31" spans="1:4" ht="15.75" customHeight="1" x14ac:dyDescent="0.2">
      <c r="A31" s="23">
        <v>26</v>
      </c>
      <c r="B31" s="23" t="s">
        <v>67</v>
      </c>
      <c r="C31" s="23" t="s">
        <v>359</v>
      </c>
      <c r="D31" s="32">
        <v>95.904606607399998</v>
      </c>
    </row>
    <row r="32" spans="1:4" ht="15.75" customHeight="1" x14ac:dyDescent="0.2">
      <c r="A32" s="23">
        <v>27</v>
      </c>
      <c r="B32" s="23" t="s">
        <v>379</v>
      </c>
      <c r="C32" s="23" t="s">
        <v>362</v>
      </c>
      <c r="D32" s="32">
        <v>543.12793069689997</v>
      </c>
    </row>
    <row r="33" spans="1:4" ht="15.75" customHeight="1" x14ac:dyDescent="0.2">
      <c r="A33" s="23">
        <v>28</v>
      </c>
      <c r="B33" s="23" t="s">
        <v>380</v>
      </c>
      <c r="C33" s="23" t="s">
        <v>362</v>
      </c>
      <c r="D33" s="32">
        <v>747.53442389600002</v>
      </c>
    </row>
    <row r="34" spans="1:4" ht="15.75" customHeight="1" x14ac:dyDescent="0.2">
      <c r="A34" s="23">
        <v>29</v>
      </c>
      <c r="B34" s="23" t="s">
        <v>14</v>
      </c>
      <c r="C34" s="23" t="s">
        <v>362</v>
      </c>
      <c r="D34" s="32">
        <v>181.71565349799999</v>
      </c>
    </row>
    <row r="35" spans="1:4" ht="15.75" customHeight="1" x14ac:dyDescent="0.2">
      <c r="A35" s="23">
        <v>30</v>
      </c>
      <c r="B35" s="23" t="s">
        <v>381</v>
      </c>
      <c r="C35" s="23" t="s">
        <v>359</v>
      </c>
      <c r="D35" s="32">
        <v>915.63220622900008</v>
      </c>
    </row>
    <row r="36" spans="1:4" ht="15.75" customHeight="1" x14ac:dyDescent="0.2">
      <c r="A36" s="23">
        <v>31</v>
      </c>
      <c r="B36" s="23" t="s">
        <v>382</v>
      </c>
      <c r="C36" s="23" t="s">
        <v>358</v>
      </c>
      <c r="D36" s="32">
        <v>735.50460088</v>
      </c>
    </row>
    <row r="37" spans="1:4" ht="15.75" customHeight="1" x14ac:dyDescent="0.2">
      <c r="A37" s="23">
        <v>32</v>
      </c>
      <c r="B37" s="23" t="s">
        <v>137</v>
      </c>
      <c r="C37" s="23" t="s">
        <v>358</v>
      </c>
      <c r="D37" s="32">
        <v>1366.8114846999999</v>
      </c>
    </row>
    <row r="38" spans="1:4" ht="15.75" customHeight="1" x14ac:dyDescent="0.2">
      <c r="A38" s="23">
        <v>33</v>
      </c>
      <c r="B38" s="23" t="s">
        <v>63</v>
      </c>
      <c r="C38" s="23" t="s">
        <v>359</v>
      </c>
      <c r="D38" s="32">
        <v>119.65094123199999</v>
      </c>
    </row>
    <row r="39" spans="1:4" ht="15.75" customHeight="1" x14ac:dyDescent="0.2">
      <c r="A39" s="23">
        <v>34</v>
      </c>
      <c r="B39" s="23" t="s">
        <v>93</v>
      </c>
      <c r="C39" s="23" t="s">
        <v>359</v>
      </c>
      <c r="D39" s="32">
        <v>810.2655019</v>
      </c>
    </row>
    <row r="40" spans="1:4" ht="15.75" customHeight="1" x14ac:dyDescent="0.2">
      <c r="A40" s="23">
        <v>35</v>
      </c>
      <c r="B40" s="23" t="s">
        <v>383</v>
      </c>
      <c r="C40" s="23" t="s">
        <v>359</v>
      </c>
      <c r="D40" s="32">
        <v>656.95178175000001</v>
      </c>
    </row>
    <row r="41" spans="1:4" ht="15.75" customHeight="1" x14ac:dyDescent="0.2">
      <c r="A41" s="23">
        <v>36</v>
      </c>
      <c r="B41" s="23" t="s">
        <v>383</v>
      </c>
      <c r="C41" s="23" t="s">
        <v>359</v>
      </c>
      <c r="D41" s="32">
        <v>502.253617835</v>
      </c>
    </row>
    <row r="42" spans="1:4" ht="15.75" customHeight="1" x14ac:dyDescent="0.2">
      <c r="A42" s="23">
        <v>37</v>
      </c>
      <c r="B42" s="23" t="s">
        <v>384</v>
      </c>
      <c r="C42" s="23" t="s">
        <v>358</v>
      </c>
      <c r="D42" s="32">
        <v>2108.87347039</v>
      </c>
    </row>
    <row r="43" spans="1:4" ht="15.75" customHeight="1" x14ac:dyDescent="0.2">
      <c r="A43" s="23">
        <v>38</v>
      </c>
      <c r="B43" s="23" t="s">
        <v>384</v>
      </c>
      <c r="C43" s="23" t="s">
        <v>359</v>
      </c>
      <c r="D43" s="32">
        <v>1237.3242401299999</v>
      </c>
    </row>
    <row r="44" spans="1:4" ht="15.75" customHeight="1" x14ac:dyDescent="0.2">
      <c r="A44" s="23">
        <v>39</v>
      </c>
      <c r="B44" s="23" t="s">
        <v>384</v>
      </c>
      <c r="C44" s="23" t="s">
        <v>359</v>
      </c>
      <c r="D44" s="32">
        <v>1353.4539476</v>
      </c>
    </row>
    <row r="45" spans="1:4" ht="15.75" customHeight="1" x14ac:dyDescent="0.2">
      <c r="A45" s="23">
        <v>40</v>
      </c>
      <c r="B45" s="23" t="s">
        <v>411</v>
      </c>
      <c r="C45" s="23" t="s">
        <v>361</v>
      </c>
      <c r="D45" s="32">
        <v>1015.3015698132</v>
      </c>
    </row>
    <row r="46" spans="1:4" ht="15.75" customHeight="1" x14ac:dyDescent="0.2">
      <c r="A46" s="23">
        <v>44</v>
      </c>
      <c r="B46" s="23" t="s">
        <v>79</v>
      </c>
      <c r="C46" s="23" t="s">
        <v>359</v>
      </c>
      <c r="D46" s="32">
        <v>403.3405038706</v>
      </c>
    </row>
    <row r="47" spans="1:4" ht="15.75" customHeight="1" x14ac:dyDescent="0.2">
      <c r="A47" s="23">
        <v>45</v>
      </c>
      <c r="B47" s="23" t="s">
        <v>385</v>
      </c>
      <c r="C47" s="23" t="s">
        <v>361</v>
      </c>
      <c r="D47" s="32">
        <v>522.09934836909997</v>
      </c>
    </row>
    <row r="48" spans="1:4" ht="15.75" customHeight="1" x14ac:dyDescent="0.2">
      <c r="A48" s="23">
        <v>46</v>
      </c>
      <c r="B48" s="23" t="s">
        <v>386</v>
      </c>
      <c r="C48" s="23" t="s">
        <v>361</v>
      </c>
      <c r="D48" s="32">
        <v>897.34249695749997</v>
      </c>
    </row>
    <row r="49" spans="1:4" ht="15.75" customHeight="1" x14ac:dyDescent="0.2">
      <c r="A49" s="23">
        <v>47</v>
      </c>
      <c r="B49" s="23" t="s">
        <v>380</v>
      </c>
      <c r="C49" s="23" t="s">
        <v>362</v>
      </c>
      <c r="D49" s="32">
        <v>497.721996988</v>
      </c>
    </row>
    <row r="50" spans="1:4" ht="15.75" customHeight="1" x14ac:dyDescent="0.2">
      <c r="A50" s="23">
        <v>48</v>
      </c>
      <c r="B50" s="23" t="s">
        <v>387</v>
      </c>
      <c r="C50" s="23" t="s">
        <v>362</v>
      </c>
      <c r="D50" s="32">
        <v>1238.3771106282002</v>
      </c>
    </row>
    <row r="51" spans="1:4" ht="15.75" customHeight="1" x14ac:dyDescent="0.2">
      <c r="A51" s="23">
        <v>49</v>
      </c>
      <c r="B51" s="23" t="s">
        <v>388</v>
      </c>
      <c r="C51" s="23" t="s">
        <v>363</v>
      </c>
      <c r="D51" s="32">
        <v>646.39986138690006</v>
      </c>
    </row>
    <row r="52" spans="1:4" ht="15.75" customHeight="1" x14ac:dyDescent="0.2">
      <c r="A52" s="23">
        <v>50</v>
      </c>
      <c r="B52" s="23" t="s">
        <v>380</v>
      </c>
      <c r="C52" s="23" t="s">
        <v>363</v>
      </c>
      <c r="D52" s="32">
        <v>868.59092149399999</v>
      </c>
    </row>
    <row r="53" spans="1:4" ht="15.75" customHeight="1" x14ac:dyDescent="0.2">
      <c r="A53" s="23">
        <v>51</v>
      </c>
      <c r="B53" s="23" t="s">
        <v>389</v>
      </c>
      <c r="C53" s="23" t="s">
        <v>364</v>
      </c>
      <c r="D53" s="32">
        <v>786.77795697779993</v>
      </c>
    </row>
    <row r="54" spans="1:4" ht="15.75" customHeight="1" x14ac:dyDescent="0.2">
      <c r="A54" s="23">
        <v>52</v>
      </c>
      <c r="B54" s="23" t="s">
        <v>390</v>
      </c>
      <c r="C54" s="23" t="s">
        <v>364</v>
      </c>
      <c r="D54" s="32">
        <v>857.03811457910001</v>
      </c>
    </row>
    <row r="55" spans="1:4" ht="15.75" customHeight="1" x14ac:dyDescent="0.2">
      <c r="A55" s="23">
        <v>53</v>
      </c>
      <c r="B55" s="23" t="s">
        <v>217</v>
      </c>
      <c r="C55" s="23" t="s">
        <v>364</v>
      </c>
      <c r="D55" s="32">
        <v>564.07730062099995</v>
      </c>
    </row>
    <row r="56" spans="1:4" ht="15.75" customHeight="1" x14ac:dyDescent="0.2">
      <c r="A56" s="23">
        <v>54</v>
      </c>
      <c r="B56" s="23" t="s">
        <v>211</v>
      </c>
      <c r="C56" s="23" t="s">
        <v>364</v>
      </c>
      <c r="D56" s="32">
        <v>201.502866955</v>
      </c>
    </row>
    <row r="57" spans="1:4" ht="15.75" customHeight="1" x14ac:dyDescent="0.2">
      <c r="A57" s="23">
        <v>55</v>
      </c>
      <c r="B57" s="23" t="s">
        <v>391</v>
      </c>
      <c r="C57" s="23" t="s">
        <v>363</v>
      </c>
      <c r="D57" s="32">
        <v>2158.9264628493002</v>
      </c>
    </row>
    <row r="58" spans="1:4" ht="15.75" customHeight="1" x14ac:dyDescent="0.2">
      <c r="A58" s="23">
        <v>56</v>
      </c>
      <c r="B58" s="23" t="s">
        <v>380</v>
      </c>
      <c r="C58" s="23" t="s">
        <v>363</v>
      </c>
      <c r="D58" s="32">
        <v>702.97423094400006</v>
      </c>
    </row>
    <row r="59" spans="1:4" ht="15.75" customHeight="1" x14ac:dyDescent="0.2">
      <c r="A59" s="23">
        <v>57</v>
      </c>
      <c r="B59" s="23" t="s">
        <v>380</v>
      </c>
      <c r="C59" s="23" t="s">
        <v>363</v>
      </c>
      <c r="D59" s="32">
        <v>717.47541853099995</v>
      </c>
    </row>
    <row r="60" spans="1:4" ht="15.75" customHeight="1" x14ac:dyDescent="0.2">
      <c r="A60" s="23">
        <v>58</v>
      </c>
      <c r="B60" s="23" t="s">
        <v>8</v>
      </c>
      <c r="C60" s="23" t="s">
        <v>363</v>
      </c>
      <c r="D60" s="32">
        <v>222.736366272</v>
      </c>
    </row>
    <row r="61" spans="1:4" ht="15.75" customHeight="1" x14ac:dyDescent="0.2">
      <c r="A61" s="23">
        <v>59</v>
      </c>
      <c r="B61" s="23" t="s">
        <v>392</v>
      </c>
      <c r="C61" s="23" t="s">
        <v>363</v>
      </c>
      <c r="D61" s="32">
        <v>796.36627974999999</v>
      </c>
    </row>
    <row r="62" spans="1:4" ht="15.75" customHeight="1" x14ac:dyDescent="0.2">
      <c r="A62" s="23">
        <v>60</v>
      </c>
      <c r="B62" s="23" t="s">
        <v>393</v>
      </c>
      <c r="C62" s="23" t="s">
        <v>361</v>
      </c>
      <c r="D62" s="32">
        <v>1341.7560066955</v>
      </c>
    </row>
    <row r="63" spans="1:4" ht="15.75" customHeight="1" x14ac:dyDescent="0.2">
      <c r="A63" s="23">
        <v>61</v>
      </c>
      <c r="B63" s="23" t="s">
        <v>394</v>
      </c>
      <c r="C63" s="23" t="s">
        <v>361</v>
      </c>
      <c r="D63" s="32">
        <v>1130.8623934080001</v>
      </c>
    </row>
    <row r="64" spans="1:4" ht="15.75" customHeight="1" x14ac:dyDescent="0.2">
      <c r="A64" s="23">
        <v>62</v>
      </c>
      <c r="B64" s="23" t="s">
        <v>395</v>
      </c>
      <c r="C64" s="23" t="s">
        <v>361</v>
      </c>
      <c r="D64" s="32">
        <v>565.80987824520003</v>
      </c>
    </row>
    <row r="65" spans="1:4" ht="15.75" customHeight="1" x14ac:dyDescent="0.2">
      <c r="A65" s="23">
        <v>63</v>
      </c>
      <c r="B65" s="23" t="s">
        <v>384</v>
      </c>
      <c r="C65" s="23" t="s">
        <v>361</v>
      </c>
      <c r="D65" s="32">
        <v>614.51794597499998</v>
      </c>
    </row>
    <row r="66" spans="1:4" ht="15.75" customHeight="1" x14ac:dyDescent="0.2">
      <c r="A66" s="23">
        <v>64</v>
      </c>
      <c r="B66" s="23" t="s">
        <v>396</v>
      </c>
      <c r="C66" s="23" t="s">
        <v>361</v>
      </c>
      <c r="D66" s="32">
        <v>483.08497995100004</v>
      </c>
    </row>
    <row r="67" spans="1:4" ht="15.75" customHeight="1" x14ac:dyDescent="0.2">
      <c r="A67" s="23">
        <v>65</v>
      </c>
      <c r="B67" s="23" t="s">
        <v>384</v>
      </c>
      <c r="C67" s="23" t="s">
        <v>361</v>
      </c>
      <c r="D67" s="32">
        <v>593.24219459100004</v>
      </c>
    </row>
    <row r="68" spans="1:4" ht="15.75" customHeight="1" x14ac:dyDescent="0.2">
      <c r="A68" s="23">
        <v>66</v>
      </c>
      <c r="B68" s="23" t="s">
        <v>397</v>
      </c>
      <c r="C68" s="23" t="s">
        <v>361</v>
      </c>
      <c r="D68" s="32">
        <v>1117.556784072</v>
      </c>
    </row>
    <row r="69" spans="1:4" ht="15.75" customHeight="1" x14ac:dyDescent="0.2">
      <c r="A69" s="23">
        <v>67</v>
      </c>
      <c r="B69" s="23" t="s">
        <v>171</v>
      </c>
      <c r="C69" s="23" t="s">
        <v>361</v>
      </c>
      <c r="D69" s="32">
        <v>1498.80589869</v>
      </c>
    </row>
    <row r="70" spans="1:4" ht="15.75" customHeight="1" x14ac:dyDescent="0.2">
      <c r="A70" s="23">
        <v>68</v>
      </c>
      <c r="B70" s="23" t="s">
        <v>398</v>
      </c>
      <c r="C70" s="23" t="s">
        <v>361</v>
      </c>
      <c r="D70" s="32">
        <v>419.438059737</v>
      </c>
    </row>
    <row r="71" spans="1:4" ht="15.75" customHeight="1" x14ac:dyDescent="0.2">
      <c r="A71" s="23">
        <v>69</v>
      </c>
      <c r="B71" s="23" t="s">
        <v>169</v>
      </c>
      <c r="C71" s="23" t="s">
        <v>361</v>
      </c>
      <c r="D71" s="32">
        <v>694.58672053600003</v>
      </c>
    </row>
    <row r="72" spans="1:4" ht="15.75" customHeight="1" x14ac:dyDescent="0.2">
      <c r="A72" s="23">
        <v>70</v>
      </c>
      <c r="B72" s="23" t="s">
        <v>167</v>
      </c>
      <c r="C72" s="23" t="s">
        <v>361</v>
      </c>
      <c r="D72" s="32">
        <v>1482.00633395</v>
      </c>
    </row>
    <row r="73" spans="1:4" ht="15.75" customHeight="1" x14ac:dyDescent="0.2">
      <c r="A73" s="23">
        <v>71</v>
      </c>
      <c r="B73" s="23" t="s">
        <v>399</v>
      </c>
      <c r="C73" s="23" t="s">
        <v>365</v>
      </c>
      <c r="D73" s="32">
        <v>2009.6286879488998</v>
      </c>
    </row>
    <row r="74" spans="1:4" ht="15.75" customHeight="1" x14ac:dyDescent="0.2">
      <c r="A74" s="23">
        <v>72</v>
      </c>
      <c r="B74" s="23" t="s">
        <v>400</v>
      </c>
      <c r="C74" s="23" t="s">
        <v>365</v>
      </c>
      <c r="D74" s="32">
        <v>543.75714361439998</v>
      </c>
    </row>
    <row r="75" spans="1:4" ht="15.75" customHeight="1" x14ac:dyDescent="0.2">
      <c r="A75" s="23">
        <v>73</v>
      </c>
      <c r="B75" s="23" t="s">
        <v>401</v>
      </c>
      <c r="C75" s="23" t="s">
        <v>365</v>
      </c>
      <c r="D75" s="32">
        <v>795.93018222700005</v>
      </c>
    </row>
    <row r="76" spans="1:4" ht="15.75" customHeight="1" x14ac:dyDescent="0.2">
      <c r="A76" s="23">
        <v>74</v>
      </c>
      <c r="B76" s="23" t="s">
        <v>402</v>
      </c>
      <c r="C76" s="23" t="s">
        <v>365</v>
      </c>
      <c r="D76" s="32">
        <v>1926.177576801</v>
      </c>
    </row>
    <row r="77" spans="1:4" ht="15.75" customHeight="1" x14ac:dyDescent="0.2">
      <c r="A77" s="23">
        <v>75</v>
      </c>
      <c r="B77" s="23" t="s">
        <v>403</v>
      </c>
      <c r="C77" s="23" t="s">
        <v>365</v>
      </c>
      <c r="D77" s="32">
        <v>1195.30363807</v>
      </c>
    </row>
    <row r="78" spans="1:4" ht="15.75" customHeight="1" x14ac:dyDescent="0.2">
      <c r="A78" s="23">
        <v>76</v>
      </c>
      <c r="B78" s="23" t="s">
        <v>404</v>
      </c>
      <c r="C78" s="23" t="s">
        <v>358</v>
      </c>
      <c r="D78" s="32">
        <v>485.33736849800005</v>
      </c>
    </row>
    <row r="79" spans="1:4" ht="15.75" customHeight="1" x14ac:dyDescent="0.2">
      <c r="A79" s="23">
        <v>78</v>
      </c>
      <c r="B79" s="23" t="s">
        <v>405</v>
      </c>
      <c r="C79" s="23" t="s">
        <v>365</v>
      </c>
      <c r="D79" s="32">
        <v>1739.0340460079999</v>
      </c>
    </row>
    <row r="80" spans="1:4" ht="15.75" customHeight="1" x14ac:dyDescent="0.2">
      <c r="A80" s="23">
        <v>79</v>
      </c>
      <c r="B80" s="23" t="s">
        <v>406</v>
      </c>
      <c r="C80" s="23" t="s">
        <v>365</v>
      </c>
      <c r="D80" s="32">
        <v>2655.9061727500002</v>
      </c>
    </row>
    <row r="81" spans="1:4" ht="15.75" customHeight="1" x14ac:dyDescent="0.2">
      <c r="A81" s="23">
        <v>80</v>
      </c>
      <c r="B81" s="23" t="s">
        <v>406</v>
      </c>
      <c r="C81" s="23" t="s">
        <v>365</v>
      </c>
      <c r="D81" s="32">
        <v>803.83728619199997</v>
      </c>
    </row>
    <row r="82" spans="1:4" ht="15.75" customHeight="1" x14ac:dyDescent="0.2">
      <c r="A82" s="23">
        <v>81</v>
      </c>
      <c r="B82" s="23" t="s">
        <v>392</v>
      </c>
      <c r="C82" s="23" t="s">
        <v>362</v>
      </c>
      <c r="D82" s="32">
        <v>1347.1130608999999</v>
      </c>
    </row>
    <row r="83" spans="1:4" ht="15.75" customHeight="1" x14ac:dyDescent="0.2">
      <c r="A83" s="23">
        <v>82</v>
      </c>
      <c r="B83" s="23" t="s">
        <v>89</v>
      </c>
      <c r="C83" s="23" t="s">
        <v>362</v>
      </c>
      <c r="D83" s="32">
        <v>414.22932418599999</v>
      </c>
    </row>
    <row r="84" spans="1:4" ht="15.75" customHeight="1" x14ac:dyDescent="0.2">
      <c r="A84" s="23">
        <v>83</v>
      </c>
      <c r="B84" s="23" t="s">
        <v>21</v>
      </c>
      <c r="C84" s="23" t="s">
        <v>362</v>
      </c>
      <c r="D84" s="32">
        <v>754.65104041200004</v>
      </c>
    </row>
    <row r="85" spans="1:4" ht="15.75" customHeight="1" x14ac:dyDescent="0.2">
      <c r="A85" s="23">
        <v>84</v>
      </c>
      <c r="B85" s="23" t="s">
        <v>239</v>
      </c>
      <c r="C85" s="23" t="s">
        <v>362</v>
      </c>
      <c r="D85" s="32">
        <v>1019.43963102</v>
      </c>
    </row>
    <row r="86" spans="1:4" ht="15.75" customHeight="1" x14ac:dyDescent="0.2">
      <c r="A86" s="23">
        <v>91</v>
      </c>
      <c r="B86" s="23" t="s">
        <v>407</v>
      </c>
      <c r="C86" s="23" t="s">
        <v>358</v>
      </c>
      <c r="D86" s="32">
        <v>715.04408925799987</v>
      </c>
    </row>
    <row r="87" spans="1:4" ht="15.75" customHeight="1" x14ac:dyDescent="0.2">
      <c r="A87" s="23">
        <v>92</v>
      </c>
      <c r="B87" s="23" t="s">
        <v>392</v>
      </c>
      <c r="C87" s="23" t="s">
        <v>363</v>
      </c>
      <c r="D87" s="32">
        <v>2666.27350338</v>
      </c>
    </row>
    <row r="88" spans="1:4" ht="15.75" customHeight="1" x14ac:dyDescent="0.2">
      <c r="A88" s="23">
        <v>93</v>
      </c>
      <c r="B88" s="23" t="s">
        <v>392</v>
      </c>
      <c r="C88" s="23" t="s">
        <v>363</v>
      </c>
      <c r="D88" s="32">
        <v>970.73609805599995</v>
      </c>
    </row>
    <row r="89" spans="1:4" ht="15.75" customHeight="1" x14ac:dyDescent="0.2">
      <c r="A89" s="23">
        <v>94</v>
      </c>
      <c r="B89" s="23" t="s">
        <v>392</v>
      </c>
      <c r="C89" s="23" t="s">
        <v>363</v>
      </c>
      <c r="D89" s="32">
        <v>654.771568323</v>
      </c>
    </row>
    <row r="90" spans="1:4" ht="15.75" customHeight="1" x14ac:dyDescent="0.2">
      <c r="A90" s="23">
        <v>95</v>
      </c>
      <c r="B90" s="23" t="s">
        <v>392</v>
      </c>
      <c r="C90" s="23" t="s">
        <v>363</v>
      </c>
      <c r="D90" s="32">
        <v>575.90874084100005</v>
      </c>
    </row>
    <row r="91" spans="1:4" ht="15.75" customHeight="1" x14ac:dyDescent="0.2">
      <c r="A91" s="23">
        <v>96</v>
      </c>
      <c r="B91" s="23" t="s">
        <v>408</v>
      </c>
      <c r="C91" s="23" t="s">
        <v>361</v>
      </c>
      <c r="D91" s="32">
        <v>268.931698369</v>
      </c>
    </row>
    <row r="92" spans="1:4" ht="15.75" customHeight="1" x14ac:dyDescent="0.2">
      <c r="A92" s="23">
        <v>97</v>
      </c>
      <c r="B92" s="23" t="s">
        <v>409</v>
      </c>
      <c r="C92" s="23" t="s">
        <v>361</v>
      </c>
      <c r="D92" s="32">
        <v>209.33622654530001</v>
      </c>
    </row>
    <row r="93" spans="1:4" ht="15.75" customHeight="1" x14ac:dyDescent="0.2">
      <c r="A93" s="23">
        <v>98</v>
      </c>
      <c r="B93" s="23" t="s">
        <v>410</v>
      </c>
      <c r="C93" s="23" t="s">
        <v>361</v>
      </c>
      <c r="D93" s="32">
        <v>295.86740255300003</v>
      </c>
    </row>
    <row r="94" spans="1:4" ht="15.75" customHeight="1" x14ac:dyDescent="0.2">
      <c r="A94" s="23">
        <v>99</v>
      </c>
      <c r="B94" s="23" t="s">
        <v>195</v>
      </c>
      <c r="C94" s="23" t="s">
        <v>360</v>
      </c>
      <c r="D94" s="32">
        <v>412.06282123900002</v>
      </c>
    </row>
  </sheetData>
  <autoFilter ref="A5:D94"/>
  <pageMargins left="0.70866141732283472" right="0.70866141732283472" top="1.1811023622047245" bottom="0.78740157480314965" header="0.51181102362204722" footer="0.31496062992125984"/>
  <pageSetup paperSize="9" orientation="portrait" r:id="rId1"/>
  <headerFooter>
    <oddHeader>&amp;L&amp;G&amp;CWasserschatz Österreichs&amp;R&amp;A</oddHeader>
    <oddFooter>&amp;L
Grundlagen für nachhaltige Nutzungen des Grundwassers.
&amp;R&amp;Pvon &amp;N</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97"/>
  <sheetViews>
    <sheetView zoomScale="110" zoomScaleNormal="110" workbookViewId="0">
      <selection activeCell="C4" sqref="C4"/>
    </sheetView>
  </sheetViews>
  <sheetFormatPr baseColWidth="10" defaultRowHeight="15.75" customHeight="1" x14ac:dyDescent="0.2"/>
  <cols>
    <col min="1" max="1" width="12.5" style="1" customWidth="1"/>
    <col min="2" max="2" width="86" style="1" customWidth="1"/>
    <col min="3" max="3" width="11" style="10"/>
    <col min="4" max="4" width="8.5" style="1" customWidth="1"/>
    <col min="5" max="5" width="14.375" style="1" customWidth="1"/>
    <col min="6" max="10" width="11.25" style="1" customWidth="1"/>
    <col min="11" max="11" width="9.5" style="1" customWidth="1"/>
    <col min="12" max="13" width="12.25" style="1" customWidth="1"/>
    <col min="14" max="14" width="13" style="1" customWidth="1"/>
    <col min="15" max="15" width="12.875" style="1" customWidth="1"/>
    <col min="16" max="16" width="14.625" style="1" customWidth="1"/>
    <col min="17" max="17" width="11" style="1"/>
    <col min="18" max="18" width="8.5" style="1" customWidth="1"/>
    <col min="19" max="19" width="15.875" style="1" customWidth="1"/>
    <col min="20" max="20" width="12.5" style="1" customWidth="1"/>
    <col min="21" max="21" width="12.375" style="1" customWidth="1"/>
    <col min="22" max="22" width="13.5" style="1" customWidth="1"/>
    <col min="23" max="23" width="14.75" style="1" customWidth="1"/>
    <col min="24" max="24" width="12.625" style="1" customWidth="1"/>
    <col min="25" max="25" width="9.5" style="1" customWidth="1"/>
    <col min="26" max="26" width="12" style="1" customWidth="1"/>
    <col min="27" max="27" width="11.875" style="1" customWidth="1"/>
    <col min="28" max="28" width="12.875" style="1" customWidth="1"/>
    <col min="29" max="29" width="16.625" style="1" customWidth="1"/>
    <col min="30" max="30" width="11.625" style="1" customWidth="1"/>
    <col min="31" max="32" width="11" style="1"/>
    <col min="33" max="33" width="14.875" style="1" customWidth="1"/>
    <col min="34" max="34" width="11.875" style="1" customWidth="1"/>
    <col min="35" max="35" width="12" style="1" customWidth="1"/>
    <col min="36" max="36" width="14.375" style="1" customWidth="1"/>
    <col min="37" max="37" width="11.5" style="1" customWidth="1"/>
    <col min="38" max="38" width="12.625" style="1" customWidth="1"/>
    <col min="39" max="39" width="9.5" style="1" customWidth="1"/>
    <col min="40" max="40" width="13" style="1" customWidth="1"/>
    <col min="41" max="41" width="10.5" style="1" customWidth="1"/>
    <col min="42" max="42" width="13" style="1" customWidth="1"/>
    <col min="43" max="43" width="14.75" style="1" customWidth="1"/>
    <col min="44" max="44" width="11" style="1" customWidth="1"/>
    <col min="45" max="16384" width="11" style="1"/>
  </cols>
  <sheetData>
    <row r="1" spans="1:47" ht="51.75" customHeight="1" x14ac:dyDescent="0.2"/>
    <row r="2" spans="1:47" ht="15.75" customHeight="1" x14ac:dyDescent="0.2">
      <c r="A2" s="11" t="s">
        <v>290</v>
      </c>
    </row>
    <row r="3" spans="1:47" ht="15.75" customHeight="1" x14ac:dyDescent="0.2">
      <c r="A3" s="11"/>
    </row>
    <row r="4" spans="1:47" s="12" customFormat="1" ht="15.75" customHeight="1" x14ac:dyDescent="0.2">
      <c r="A4" s="12" t="s">
        <v>436</v>
      </c>
      <c r="E4" s="13">
        <f t="shared" ref="E4:J4" si="0">SUM(E9:E97)</f>
        <v>5111210000</v>
      </c>
      <c r="F4" s="13">
        <f t="shared" si="0"/>
        <v>406557000</v>
      </c>
      <c r="G4" s="13">
        <f t="shared" si="0"/>
        <v>85293000</v>
      </c>
      <c r="H4" s="13">
        <f t="shared" si="0"/>
        <v>268729000</v>
      </c>
      <c r="I4" s="13">
        <f t="shared" si="0"/>
        <v>4445000</v>
      </c>
      <c r="J4" s="13">
        <f t="shared" si="0"/>
        <v>765030000</v>
      </c>
      <c r="K4" s="13"/>
      <c r="L4" s="13">
        <f>SUM(L9:L97)</f>
        <v>335300000</v>
      </c>
      <c r="M4" s="13">
        <f>SUM(M9:M97)</f>
        <v>33249000</v>
      </c>
      <c r="N4" s="13">
        <f>SUM(N9:N97)</f>
        <v>0</v>
      </c>
      <c r="O4" s="13">
        <f>SUM(O9:O97)</f>
        <v>3061000</v>
      </c>
      <c r="P4" s="13">
        <f>SUM(P9:P97)</f>
        <v>371613000</v>
      </c>
      <c r="S4" s="13">
        <f t="shared" ref="S4:X4" si="1">SUM(S9:S97)</f>
        <v>5087500000</v>
      </c>
      <c r="T4" s="13">
        <f t="shared" si="1"/>
        <v>480354000</v>
      </c>
      <c r="U4" s="13">
        <f t="shared" si="1"/>
        <v>134805000</v>
      </c>
      <c r="V4" s="13">
        <f t="shared" si="1"/>
        <v>298509000</v>
      </c>
      <c r="W4" s="13">
        <f t="shared" si="1"/>
        <v>4910000</v>
      </c>
      <c r="X4" s="13">
        <f t="shared" si="1"/>
        <v>918578000</v>
      </c>
      <c r="Y4" s="13"/>
      <c r="Z4" s="13">
        <f>SUM(Z9:Z97)</f>
        <v>337189000</v>
      </c>
      <c r="AA4" s="13">
        <f>SUM(AA9:AA97)</f>
        <v>32730000</v>
      </c>
      <c r="AB4" s="13">
        <f>SUM(AB9:AB97)</f>
        <v>0</v>
      </c>
      <c r="AC4" s="13">
        <f>SUM(AC9:AC97)</f>
        <v>3377000</v>
      </c>
      <c r="AD4" s="13">
        <f>SUM(AD9:AD97)</f>
        <v>373296000</v>
      </c>
      <c r="AG4" s="13">
        <f t="shared" ref="AG4:AL4" si="2">SUM(AG9:AG97)</f>
        <v>3936400000</v>
      </c>
      <c r="AH4" s="13">
        <f t="shared" si="2"/>
        <v>495411000</v>
      </c>
      <c r="AI4" s="13">
        <f t="shared" si="2"/>
        <v>145742000</v>
      </c>
      <c r="AJ4" s="13">
        <f t="shared" si="2"/>
        <v>298509000</v>
      </c>
      <c r="AK4" s="13">
        <f t="shared" si="2"/>
        <v>5631000</v>
      </c>
      <c r="AL4" s="13">
        <f t="shared" si="2"/>
        <v>945293000</v>
      </c>
      <c r="AM4" s="13"/>
      <c r="AN4" s="13">
        <f>SUM(AN9:AN97)</f>
        <v>340571000</v>
      </c>
      <c r="AO4" s="13">
        <f>SUM(AO9:AO97)</f>
        <v>40742000</v>
      </c>
      <c r="AP4" s="13">
        <f>SUM(AP9:AP97)</f>
        <v>0</v>
      </c>
      <c r="AQ4" s="13">
        <f>SUM(AQ9:AQ97)</f>
        <v>3699000</v>
      </c>
      <c r="AR4" s="13">
        <f>SUM(AR9:AR97)</f>
        <v>385012000</v>
      </c>
    </row>
    <row r="5" spans="1:47" s="12" customFormat="1" ht="15.75" customHeight="1" thickBot="1" x14ac:dyDescent="0.25">
      <c r="A5" s="12" t="s">
        <v>437</v>
      </c>
      <c r="E5" s="13">
        <f t="shared" ref="E5:J5" si="3">SUBTOTAL(9,E9:E97)</f>
        <v>5111210000</v>
      </c>
      <c r="F5" s="13">
        <f t="shared" si="3"/>
        <v>406557000</v>
      </c>
      <c r="G5" s="13">
        <f t="shared" si="3"/>
        <v>85293000</v>
      </c>
      <c r="H5" s="13">
        <f t="shared" si="3"/>
        <v>268729000</v>
      </c>
      <c r="I5" s="13">
        <f t="shared" si="3"/>
        <v>4445000</v>
      </c>
      <c r="J5" s="13">
        <f t="shared" si="3"/>
        <v>765030000</v>
      </c>
      <c r="K5" s="13"/>
      <c r="L5" s="13">
        <f>SUBTOTAL(9,L9:L97)</f>
        <v>335300000</v>
      </c>
      <c r="M5" s="13">
        <f>SUBTOTAL(9,M9:M97)</f>
        <v>33249000</v>
      </c>
      <c r="N5" s="13">
        <f>SUBTOTAL(9,N9:N97)</f>
        <v>0</v>
      </c>
      <c r="O5" s="13">
        <f>SUBTOTAL(9,O9:O97)</f>
        <v>3061000</v>
      </c>
      <c r="P5" s="13">
        <f>SUBTOTAL(9,P9:P97)</f>
        <v>371613000</v>
      </c>
      <c r="S5" s="13">
        <f t="shared" ref="S5:X5" si="4">SUBTOTAL(9,S9:S97)</f>
        <v>5087500000</v>
      </c>
      <c r="T5" s="13">
        <f t="shared" si="4"/>
        <v>480354000</v>
      </c>
      <c r="U5" s="13">
        <f t="shared" si="4"/>
        <v>134805000</v>
      </c>
      <c r="V5" s="13">
        <f t="shared" si="4"/>
        <v>298509000</v>
      </c>
      <c r="W5" s="13">
        <f t="shared" si="4"/>
        <v>4910000</v>
      </c>
      <c r="X5" s="13">
        <f t="shared" si="4"/>
        <v>918578000</v>
      </c>
      <c r="Y5" s="13"/>
      <c r="Z5" s="13">
        <f>SUBTOTAL(9,Z9:Z97)</f>
        <v>337189000</v>
      </c>
      <c r="AA5" s="13">
        <f>SUBTOTAL(9,AA9:AA97)</f>
        <v>32730000</v>
      </c>
      <c r="AB5" s="13">
        <f>SUBTOTAL(9,AB9:AB97)</f>
        <v>0</v>
      </c>
      <c r="AC5" s="13">
        <f>SUBTOTAL(9,AC9:AC97)</f>
        <v>3377000</v>
      </c>
      <c r="AD5" s="13">
        <f>SUBTOTAL(9,AD9:AD97)</f>
        <v>373296000</v>
      </c>
      <c r="AG5" s="13">
        <f t="shared" ref="AG5:AL5" si="5">SUBTOTAL(9,AG9:AG97)</f>
        <v>3936400000</v>
      </c>
      <c r="AH5" s="13">
        <f t="shared" si="5"/>
        <v>495411000</v>
      </c>
      <c r="AI5" s="13">
        <f t="shared" si="5"/>
        <v>145742000</v>
      </c>
      <c r="AJ5" s="13">
        <f t="shared" si="5"/>
        <v>298509000</v>
      </c>
      <c r="AK5" s="13">
        <f t="shared" si="5"/>
        <v>5631000</v>
      </c>
      <c r="AL5" s="13">
        <f t="shared" si="5"/>
        <v>945293000</v>
      </c>
      <c r="AM5" s="13"/>
      <c r="AN5" s="13">
        <f>SUBTOTAL(9,AN9:AN97)</f>
        <v>340571000</v>
      </c>
      <c r="AO5" s="13">
        <f>SUBTOTAL(9,AO9:AO97)</f>
        <v>40742000</v>
      </c>
      <c r="AP5" s="13">
        <f>SUBTOTAL(9,AP9:AP97)</f>
        <v>0</v>
      </c>
      <c r="AQ5" s="13">
        <f>SUBTOTAL(9,AQ9:AQ97)</f>
        <v>3699000</v>
      </c>
      <c r="AR5" s="13">
        <f>SUBTOTAL(9,AR9:AR97)</f>
        <v>385012000</v>
      </c>
    </row>
    <row r="6" spans="1:47" s="10" customFormat="1" ht="15.75" customHeight="1" x14ac:dyDescent="0.2">
      <c r="B6" s="14"/>
      <c r="C6" s="14"/>
      <c r="F6" s="88" t="s">
        <v>421</v>
      </c>
      <c r="G6" s="89"/>
      <c r="H6" s="89"/>
      <c r="I6" s="89"/>
      <c r="J6" s="89"/>
      <c r="K6" s="91"/>
      <c r="L6" s="88" t="s">
        <v>422</v>
      </c>
      <c r="M6" s="89"/>
      <c r="N6" s="89"/>
      <c r="O6" s="89"/>
      <c r="P6" s="90"/>
      <c r="T6" s="88" t="s">
        <v>351</v>
      </c>
      <c r="U6" s="89"/>
      <c r="V6" s="89"/>
      <c r="W6" s="89"/>
      <c r="X6" s="89"/>
      <c r="Y6" s="91"/>
      <c r="Z6" s="88" t="s">
        <v>353</v>
      </c>
      <c r="AA6" s="89"/>
      <c r="AB6" s="89"/>
      <c r="AC6" s="89"/>
      <c r="AD6" s="90"/>
      <c r="AH6" s="88" t="s">
        <v>354</v>
      </c>
      <c r="AI6" s="89"/>
      <c r="AJ6" s="89"/>
      <c r="AK6" s="89"/>
      <c r="AL6" s="89"/>
      <c r="AM6" s="91"/>
      <c r="AN6" s="88" t="s">
        <v>355</v>
      </c>
      <c r="AO6" s="89"/>
      <c r="AP6" s="89"/>
      <c r="AQ6" s="89"/>
      <c r="AR6" s="90"/>
    </row>
    <row r="7" spans="1:47" s="10" customFormat="1" ht="38.25" x14ac:dyDescent="0.2">
      <c r="A7" s="86" t="s">
        <v>443</v>
      </c>
      <c r="B7" s="84" t="s">
        <v>444</v>
      </c>
      <c r="C7" s="15"/>
      <c r="D7" s="77" t="s">
        <v>275</v>
      </c>
      <c r="E7" s="79" t="s">
        <v>271</v>
      </c>
      <c r="F7" s="16" t="s">
        <v>280</v>
      </c>
      <c r="G7" s="17" t="s">
        <v>279</v>
      </c>
      <c r="H7" s="17" t="s">
        <v>269</v>
      </c>
      <c r="I7" s="17" t="s">
        <v>270</v>
      </c>
      <c r="J7" s="17" t="s">
        <v>267</v>
      </c>
      <c r="K7" s="18" t="s">
        <v>272</v>
      </c>
      <c r="L7" s="16" t="s">
        <v>280</v>
      </c>
      <c r="M7" s="17" t="s">
        <v>279</v>
      </c>
      <c r="N7" s="17" t="s">
        <v>269</v>
      </c>
      <c r="O7" s="17" t="s">
        <v>270</v>
      </c>
      <c r="P7" s="19" t="s">
        <v>274</v>
      </c>
      <c r="R7" s="77" t="s">
        <v>352</v>
      </c>
      <c r="S7" s="79" t="s">
        <v>271</v>
      </c>
      <c r="T7" s="16" t="s">
        <v>280</v>
      </c>
      <c r="U7" s="17" t="s">
        <v>279</v>
      </c>
      <c r="V7" s="17" t="s">
        <v>269</v>
      </c>
      <c r="W7" s="17" t="s">
        <v>270</v>
      </c>
      <c r="X7" s="17" t="s">
        <v>267</v>
      </c>
      <c r="Y7" s="18" t="s">
        <v>272</v>
      </c>
      <c r="Z7" s="16" t="s">
        <v>280</v>
      </c>
      <c r="AA7" s="17" t="s">
        <v>279</v>
      </c>
      <c r="AB7" s="17" t="s">
        <v>269</v>
      </c>
      <c r="AC7" s="17" t="s">
        <v>270</v>
      </c>
      <c r="AD7" s="19" t="s">
        <v>274</v>
      </c>
      <c r="AF7" s="77" t="s">
        <v>352</v>
      </c>
      <c r="AG7" s="79" t="s">
        <v>271</v>
      </c>
      <c r="AH7" s="16" t="s">
        <v>280</v>
      </c>
      <c r="AI7" s="17" t="s">
        <v>279</v>
      </c>
      <c r="AJ7" s="17" t="s">
        <v>269</v>
      </c>
      <c r="AK7" s="17" t="s">
        <v>270</v>
      </c>
      <c r="AL7" s="17" t="s">
        <v>267</v>
      </c>
      <c r="AM7" s="18" t="s">
        <v>272</v>
      </c>
      <c r="AN7" s="16" t="s">
        <v>280</v>
      </c>
      <c r="AO7" s="17" t="s">
        <v>279</v>
      </c>
      <c r="AP7" s="17" t="s">
        <v>269</v>
      </c>
      <c r="AQ7" s="17" t="s">
        <v>270</v>
      </c>
      <c r="AR7" s="19" t="s">
        <v>274</v>
      </c>
    </row>
    <row r="8" spans="1:47" s="10" customFormat="1" ht="15.75" customHeight="1" thickBot="1" x14ac:dyDescent="0.25">
      <c r="A8" s="87"/>
      <c r="B8" s="85"/>
      <c r="C8" s="15"/>
      <c r="D8" s="78"/>
      <c r="E8" s="80"/>
      <c r="F8" s="81" t="s">
        <v>264</v>
      </c>
      <c r="G8" s="82"/>
      <c r="H8" s="82"/>
      <c r="I8" s="82"/>
      <c r="J8" s="82"/>
      <c r="K8" s="20" t="s">
        <v>268</v>
      </c>
      <c r="L8" s="81" t="s">
        <v>264</v>
      </c>
      <c r="M8" s="82"/>
      <c r="N8" s="82"/>
      <c r="O8" s="82"/>
      <c r="P8" s="82"/>
      <c r="R8" s="78"/>
      <c r="S8" s="80"/>
      <c r="T8" s="81" t="s">
        <v>264</v>
      </c>
      <c r="U8" s="82"/>
      <c r="V8" s="82"/>
      <c r="W8" s="82"/>
      <c r="X8" s="82"/>
      <c r="Y8" s="20" t="s">
        <v>268</v>
      </c>
      <c r="Z8" s="81" t="s">
        <v>264</v>
      </c>
      <c r="AA8" s="82"/>
      <c r="AB8" s="82"/>
      <c r="AC8" s="82"/>
      <c r="AD8" s="83"/>
      <c r="AF8" s="78"/>
      <c r="AG8" s="80"/>
      <c r="AH8" s="81" t="s">
        <v>264</v>
      </c>
      <c r="AI8" s="82"/>
      <c r="AJ8" s="82"/>
      <c r="AK8" s="82"/>
      <c r="AL8" s="82"/>
      <c r="AM8" s="20" t="s">
        <v>268</v>
      </c>
      <c r="AN8" s="81" t="s">
        <v>264</v>
      </c>
      <c r="AO8" s="82"/>
      <c r="AP8" s="82"/>
      <c r="AQ8" s="82"/>
      <c r="AR8" s="83"/>
    </row>
    <row r="9" spans="1:47" ht="15.75" customHeight="1" x14ac:dyDescent="0.2">
      <c r="A9" s="21">
        <v>1</v>
      </c>
      <c r="B9" s="21" t="s">
        <v>367</v>
      </c>
      <c r="C9" s="22"/>
      <c r="D9" s="23" t="s">
        <v>276</v>
      </c>
      <c r="E9" s="2">
        <v>23450000</v>
      </c>
      <c r="F9" s="2">
        <v>13083000</v>
      </c>
      <c r="G9" s="2">
        <v>1286000</v>
      </c>
      <c r="H9" s="2">
        <v>3152000</v>
      </c>
      <c r="I9" s="2">
        <v>9000</v>
      </c>
      <c r="J9" s="2">
        <v>17530000</v>
      </c>
      <c r="K9" s="24">
        <v>74.754283114659231</v>
      </c>
      <c r="L9" s="25">
        <v>50000</v>
      </c>
      <c r="M9" s="25">
        <v>9000</v>
      </c>
      <c r="N9" s="25">
        <v>0</v>
      </c>
      <c r="O9" s="25">
        <v>0</v>
      </c>
      <c r="P9" s="25">
        <v>60000</v>
      </c>
      <c r="Q9" s="10"/>
      <c r="R9" s="23" t="s">
        <v>281</v>
      </c>
      <c r="S9" s="2">
        <v>24500000</v>
      </c>
      <c r="T9" s="2">
        <v>14374000</v>
      </c>
      <c r="U9" s="2">
        <v>1325000</v>
      </c>
      <c r="V9" s="2">
        <v>3414000</v>
      </c>
      <c r="W9" s="2">
        <v>0</v>
      </c>
      <c r="X9" s="2">
        <v>19113000</v>
      </c>
      <c r="Y9" s="26">
        <v>0.78012244897959182</v>
      </c>
      <c r="Z9" s="2">
        <v>50000</v>
      </c>
      <c r="AA9" s="2">
        <v>9000</v>
      </c>
      <c r="AB9" s="2">
        <v>0</v>
      </c>
      <c r="AC9" s="2">
        <v>0</v>
      </c>
      <c r="AD9" s="2">
        <v>59000</v>
      </c>
      <c r="AF9" s="23" t="s">
        <v>282</v>
      </c>
      <c r="AG9" s="2">
        <v>15200000</v>
      </c>
      <c r="AH9" s="2">
        <v>14723000</v>
      </c>
      <c r="AI9" s="2">
        <v>1746000</v>
      </c>
      <c r="AJ9" s="2">
        <v>3414000</v>
      </c>
      <c r="AK9" s="2">
        <v>0</v>
      </c>
      <c r="AL9" s="2">
        <v>19883000</v>
      </c>
      <c r="AM9" s="26">
        <v>1.308092105263158</v>
      </c>
      <c r="AN9" s="2">
        <v>50000</v>
      </c>
      <c r="AO9" s="2">
        <v>13000</v>
      </c>
      <c r="AP9" s="2">
        <v>0</v>
      </c>
      <c r="AQ9" s="2">
        <v>0</v>
      </c>
      <c r="AR9" s="2">
        <v>63000</v>
      </c>
      <c r="AU9" s="63"/>
    </row>
    <row r="10" spans="1:47" ht="15.75" customHeight="1" x14ac:dyDescent="0.2">
      <c r="A10" s="21">
        <v>2</v>
      </c>
      <c r="B10" s="21" t="s">
        <v>368</v>
      </c>
      <c r="C10" s="22"/>
      <c r="D10" s="23" t="s">
        <v>276</v>
      </c>
      <c r="E10" s="2">
        <v>39150000</v>
      </c>
      <c r="F10" s="2">
        <v>6661000</v>
      </c>
      <c r="G10" s="2">
        <v>1160000</v>
      </c>
      <c r="H10" s="2">
        <v>2404000</v>
      </c>
      <c r="I10" s="2">
        <v>62000</v>
      </c>
      <c r="J10" s="2">
        <v>10287000</v>
      </c>
      <c r="K10" s="24">
        <v>26.275151407728515</v>
      </c>
      <c r="L10" s="25">
        <v>674000</v>
      </c>
      <c r="M10" s="25">
        <v>205000</v>
      </c>
      <c r="N10" s="25">
        <v>0</v>
      </c>
      <c r="O10" s="25">
        <v>0</v>
      </c>
      <c r="P10" s="25">
        <v>880000</v>
      </c>
      <c r="Q10" s="10"/>
      <c r="R10" s="23" t="s">
        <v>281</v>
      </c>
      <c r="S10" s="2">
        <v>40800000</v>
      </c>
      <c r="T10" s="2">
        <v>7209000</v>
      </c>
      <c r="U10" s="2">
        <v>1236000</v>
      </c>
      <c r="V10" s="2">
        <v>2604000</v>
      </c>
      <c r="W10" s="2">
        <v>0</v>
      </c>
      <c r="X10" s="2">
        <v>11049000</v>
      </c>
      <c r="Y10" s="26">
        <v>0.27080882352941177</v>
      </c>
      <c r="Z10" s="2">
        <v>674000</v>
      </c>
      <c r="AA10" s="2">
        <v>222000</v>
      </c>
      <c r="AB10" s="2">
        <v>0</v>
      </c>
      <c r="AC10" s="2">
        <v>0</v>
      </c>
      <c r="AD10" s="2">
        <v>896000</v>
      </c>
      <c r="AF10" s="23" t="s">
        <v>282</v>
      </c>
      <c r="AG10" s="2">
        <v>30700000</v>
      </c>
      <c r="AH10" s="2">
        <v>7429000</v>
      </c>
      <c r="AI10" s="2">
        <v>1625000</v>
      </c>
      <c r="AJ10" s="2">
        <v>2604000</v>
      </c>
      <c r="AK10" s="2">
        <v>0</v>
      </c>
      <c r="AL10" s="2">
        <v>11658000</v>
      </c>
      <c r="AM10" s="26">
        <v>0.37973941368078173</v>
      </c>
      <c r="AN10" s="2">
        <v>674000</v>
      </c>
      <c r="AO10" s="2">
        <v>291000</v>
      </c>
      <c r="AP10" s="2">
        <v>0</v>
      </c>
      <c r="AQ10" s="2">
        <v>0</v>
      </c>
      <c r="AR10" s="2">
        <v>965000</v>
      </c>
      <c r="AU10" s="63"/>
    </row>
    <row r="11" spans="1:47" ht="15.75" customHeight="1" x14ac:dyDescent="0.2">
      <c r="A11" s="21">
        <v>3</v>
      </c>
      <c r="B11" s="21" t="s">
        <v>369</v>
      </c>
      <c r="C11" s="22"/>
      <c r="D11" s="23" t="s">
        <v>276</v>
      </c>
      <c r="E11" s="2">
        <v>51790000</v>
      </c>
      <c r="F11" s="2">
        <v>11472000</v>
      </c>
      <c r="G11" s="2">
        <v>1368000</v>
      </c>
      <c r="H11" s="2">
        <v>1930000</v>
      </c>
      <c r="I11" s="2">
        <v>0</v>
      </c>
      <c r="J11" s="2">
        <v>14770000</v>
      </c>
      <c r="K11" s="24">
        <v>28.518957932160109</v>
      </c>
      <c r="L11" s="25">
        <v>807000</v>
      </c>
      <c r="M11" s="25">
        <v>210000</v>
      </c>
      <c r="N11" s="25">
        <v>0</v>
      </c>
      <c r="O11" s="25">
        <v>0</v>
      </c>
      <c r="P11" s="25">
        <v>1017000</v>
      </c>
      <c r="Q11" s="11"/>
      <c r="R11" s="23" t="s">
        <v>281</v>
      </c>
      <c r="S11" s="2">
        <v>50100000</v>
      </c>
      <c r="T11" s="2">
        <v>12833000</v>
      </c>
      <c r="U11" s="2">
        <v>1411000</v>
      </c>
      <c r="V11" s="2">
        <v>2091000</v>
      </c>
      <c r="W11" s="2">
        <v>0</v>
      </c>
      <c r="X11" s="2">
        <v>16335000</v>
      </c>
      <c r="Y11" s="26">
        <v>0.32604790419161678</v>
      </c>
      <c r="Z11" s="2">
        <v>801000</v>
      </c>
      <c r="AA11" s="2">
        <v>218000</v>
      </c>
      <c r="AB11" s="2">
        <v>0</v>
      </c>
      <c r="AC11" s="2">
        <v>0</v>
      </c>
      <c r="AD11" s="2">
        <v>1019000</v>
      </c>
      <c r="AF11" s="23" t="s">
        <v>282</v>
      </c>
      <c r="AG11" s="2">
        <v>39500000</v>
      </c>
      <c r="AH11" s="2">
        <v>13302000</v>
      </c>
      <c r="AI11" s="2">
        <v>1923000</v>
      </c>
      <c r="AJ11" s="2">
        <v>2091000</v>
      </c>
      <c r="AK11" s="2">
        <v>0</v>
      </c>
      <c r="AL11" s="2">
        <v>17316000</v>
      </c>
      <c r="AM11" s="26">
        <v>0.43837974683544306</v>
      </c>
      <c r="AN11" s="2">
        <v>802000</v>
      </c>
      <c r="AO11" s="2">
        <v>300000</v>
      </c>
      <c r="AP11" s="2">
        <v>0</v>
      </c>
      <c r="AQ11" s="2">
        <v>0</v>
      </c>
      <c r="AR11" s="2">
        <v>1102000</v>
      </c>
      <c r="AU11" s="63"/>
    </row>
    <row r="12" spans="1:47" ht="15.75" customHeight="1" x14ac:dyDescent="0.2">
      <c r="A12" s="21">
        <v>4</v>
      </c>
      <c r="B12" s="21" t="s">
        <v>249</v>
      </c>
      <c r="C12" s="22"/>
      <c r="D12" s="23" t="s">
        <v>276</v>
      </c>
      <c r="E12" s="2">
        <v>46659999.999999993</v>
      </c>
      <c r="F12" s="2">
        <v>5905000</v>
      </c>
      <c r="G12" s="2">
        <v>1197000</v>
      </c>
      <c r="H12" s="2">
        <v>129000</v>
      </c>
      <c r="I12" s="2">
        <v>123000</v>
      </c>
      <c r="J12" s="2">
        <v>7354000</v>
      </c>
      <c r="K12" s="24">
        <v>15.760639306068461</v>
      </c>
      <c r="L12" s="25">
        <v>6233000</v>
      </c>
      <c r="M12" s="25">
        <v>1963000</v>
      </c>
      <c r="N12" s="25">
        <v>0</v>
      </c>
      <c r="O12" s="25">
        <v>0</v>
      </c>
      <c r="P12" s="25">
        <v>8197000</v>
      </c>
      <c r="Q12" s="27"/>
      <c r="R12" s="23" t="s">
        <v>281</v>
      </c>
      <c r="S12" s="2">
        <v>46600000</v>
      </c>
      <c r="T12" s="2">
        <v>6034000</v>
      </c>
      <c r="U12" s="2">
        <v>1342000</v>
      </c>
      <c r="V12" s="2">
        <v>140000</v>
      </c>
      <c r="W12" s="2">
        <v>164000</v>
      </c>
      <c r="X12" s="2">
        <v>7680000</v>
      </c>
      <c r="Y12" s="26">
        <v>0.1648068669527897</v>
      </c>
      <c r="Z12" s="2">
        <v>6164000</v>
      </c>
      <c r="AA12" s="2">
        <v>1523000</v>
      </c>
      <c r="AB12" s="2">
        <v>0</v>
      </c>
      <c r="AC12" s="2">
        <v>0</v>
      </c>
      <c r="AD12" s="2">
        <v>7687000</v>
      </c>
      <c r="AF12" s="23" t="s">
        <v>282</v>
      </c>
      <c r="AG12" s="2">
        <v>36600000</v>
      </c>
      <c r="AH12" s="2">
        <v>6247000</v>
      </c>
      <c r="AI12" s="2">
        <v>1707000</v>
      </c>
      <c r="AJ12" s="2">
        <v>140000</v>
      </c>
      <c r="AK12" s="2">
        <v>181000</v>
      </c>
      <c r="AL12" s="2">
        <v>8275000</v>
      </c>
      <c r="AM12" s="26">
        <v>0.22609289617486339</v>
      </c>
      <c r="AN12" s="2">
        <v>6191000</v>
      </c>
      <c r="AO12" s="2">
        <v>1908000</v>
      </c>
      <c r="AP12" s="2">
        <v>0</v>
      </c>
      <c r="AQ12" s="2">
        <v>0</v>
      </c>
      <c r="AR12" s="2">
        <v>8099000</v>
      </c>
      <c r="AU12" s="63"/>
    </row>
    <row r="13" spans="1:47" ht="15.75" customHeight="1" x14ac:dyDescent="0.2">
      <c r="A13" s="21">
        <v>5</v>
      </c>
      <c r="B13" s="21" t="s">
        <v>49</v>
      </c>
      <c r="C13" s="22"/>
      <c r="D13" s="23" t="s">
        <v>276</v>
      </c>
      <c r="E13" s="2">
        <v>130200000</v>
      </c>
      <c r="F13" s="2">
        <v>57494000</v>
      </c>
      <c r="G13" s="2">
        <v>3166000</v>
      </c>
      <c r="H13" s="2">
        <v>29876000</v>
      </c>
      <c r="I13" s="2">
        <v>413000</v>
      </c>
      <c r="J13" s="2">
        <v>90949000</v>
      </c>
      <c r="K13" s="24">
        <v>69.853103596370403</v>
      </c>
      <c r="L13" s="25">
        <v>38000</v>
      </c>
      <c r="M13" s="25">
        <v>0</v>
      </c>
      <c r="N13" s="25">
        <v>0</v>
      </c>
      <c r="O13" s="25">
        <v>0</v>
      </c>
      <c r="P13" s="25">
        <v>38000</v>
      </c>
      <c r="Q13" s="28"/>
      <c r="R13" s="23" t="s">
        <v>281</v>
      </c>
      <c r="S13" s="2">
        <v>156000000</v>
      </c>
      <c r="T13" s="2">
        <v>85106000</v>
      </c>
      <c r="U13" s="2">
        <v>10662000</v>
      </c>
      <c r="V13" s="2">
        <v>32361000</v>
      </c>
      <c r="W13" s="2">
        <v>0</v>
      </c>
      <c r="X13" s="2">
        <v>128129000</v>
      </c>
      <c r="Y13" s="26">
        <v>0.8213397435897436</v>
      </c>
      <c r="Z13" s="2">
        <v>38000</v>
      </c>
      <c r="AA13" s="2">
        <v>0</v>
      </c>
      <c r="AB13" s="2">
        <v>0</v>
      </c>
      <c r="AC13" s="2">
        <v>0</v>
      </c>
      <c r="AD13" s="2">
        <v>38000</v>
      </c>
      <c r="AF13" s="23" t="s">
        <v>282</v>
      </c>
      <c r="AG13" s="2">
        <v>120700000</v>
      </c>
      <c r="AH13" s="2">
        <v>88501000</v>
      </c>
      <c r="AI13" s="2">
        <v>10773000</v>
      </c>
      <c r="AJ13" s="2">
        <v>32361000</v>
      </c>
      <c r="AK13" s="2">
        <v>0</v>
      </c>
      <c r="AL13" s="2">
        <v>131635000</v>
      </c>
      <c r="AM13" s="26">
        <v>1.0905965202982602</v>
      </c>
      <c r="AN13" s="2">
        <v>38000</v>
      </c>
      <c r="AO13" s="2">
        <v>0</v>
      </c>
      <c r="AP13" s="2">
        <v>0</v>
      </c>
      <c r="AQ13" s="2">
        <v>0</v>
      </c>
      <c r="AR13" s="2">
        <v>38000</v>
      </c>
      <c r="AU13" s="63"/>
    </row>
    <row r="14" spans="1:47" ht="15.75" customHeight="1" x14ac:dyDescent="0.2">
      <c r="A14" s="21">
        <v>6</v>
      </c>
      <c r="B14" s="21" t="s">
        <v>370</v>
      </c>
      <c r="C14" s="22"/>
      <c r="D14" s="23" t="s">
        <v>276</v>
      </c>
      <c r="E14" s="2">
        <v>15850000</v>
      </c>
      <c r="F14" s="2">
        <v>2671000</v>
      </c>
      <c r="G14" s="2">
        <v>514000</v>
      </c>
      <c r="H14" s="2">
        <v>155000</v>
      </c>
      <c r="I14" s="2">
        <v>0</v>
      </c>
      <c r="J14" s="2">
        <v>3341000</v>
      </c>
      <c r="K14" s="24">
        <v>21.075855202197971</v>
      </c>
      <c r="L14" s="25">
        <v>371000</v>
      </c>
      <c r="M14" s="25">
        <v>88000</v>
      </c>
      <c r="N14" s="25">
        <v>0</v>
      </c>
      <c r="O14" s="25">
        <v>0</v>
      </c>
      <c r="P14" s="25">
        <v>459000</v>
      </c>
      <c r="R14" s="23" t="s">
        <v>281</v>
      </c>
      <c r="S14" s="2">
        <v>17600000</v>
      </c>
      <c r="T14" s="2">
        <v>2646000</v>
      </c>
      <c r="U14" s="2">
        <v>813000</v>
      </c>
      <c r="V14" s="2">
        <v>168000</v>
      </c>
      <c r="W14" s="2">
        <v>0</v>
      </c>
      <c r="X14" s="2">
        <v>3627000</v>
      </c>
      <c r="Y14" s="26">
        <v>0.20607954545454546</v>
      </c>
      <c r="Z14" s="2">
        <v>371000</v>
      </c>
      <c r="AA14" s="2">
        <v>100000</v>
      </c>
      <c r="AB14" s="2">
        <v>0</v>
      </c>
      <c r="AC14" s="2">
        <v>0</v>
      </c>
      <c r="AD14" s="2">
        <v>471000</v>
      </c>
      <c r="AF14" s="23" t="s">
        <v>282</v>
      </c>
      <c r="AG14" s="2">
        <v>14700000</v>
      </c>
      <c r="AH14" s="2">
        <v>2714000</v>
      </c>
      <c r="AI14" s="2">
        <v>1022000</v>
      </c>
      <c r="AJ14" s="2">
        <v>168000</v>
      </c>
      <c r="AK14" s="2">
        <v>0</v>
      </c>
      <c r="AL14" s="2">
        <v>3904000</v>
      </c>
      <c r="AM14" s="26">
        <v>0.26557823129251701</v>
      </c>
      <c r="AN14" s="2">
        <v>371000</v>
      </c>
      <c r="AO14" s="2">
        <v>130000</v>
      </c>
      <c r="AP14" s="2">
        <v>0</v>
      </c>
      <c r="AQ14" s="2">
        <v>0</v>
      </c>
      <c r="AR14" s="2">
        <v>501000</v>
      </c>
      <c r="AU14" s="63"/>
    </row>
    <row r="15" spans="1:47" ht="15.75" customHeight="1" x14ac:dyDescent="0.2">
      <c r="A15" s="21">
        <v>7</v>
      </c>
      <c r="B15" s="21" t="s">
        <v>371</v>
      </c>
      <c r="C15" s="22"/>
      <c r="D15" s="23" t="s">
        <v>276</v>
      </c>
      <c r="E15" s="2">
        <v>26950000</v>
      </c>
      <c r="F15" s="2">
        <v>50000</v>
      </c>
      <c r="G15" s="2">
        <v>16000</v>
      </c>
      <c r="H15" s="2">
        <v>0</v>
      </c>
      <c r="I15" s="2">
        <v>0</v>
      </c>
      <c r="J15" s="2">
        <v>66000</v>
      </c>
      <c r="K15" s="24">
        <v>0.24374940477750748</v>
      </c>
      <c r="L15" s="25">
        <v>3819000</v>
      </c>
      <c r="M15" s="25">
        <v>1046000</v>
      </c>
      <c r="N15" s="25">
        <v>0</v>
      </c>
      <c r="O15" s="25">
        <v>0</v>
      </c>
      <c r="P15" s="25">
        <v>4866000</v>
      </c>
      <c r="R15" s="23" t="s">
        <v>281</v>
      </c>
      <c r="S15" s="2">
        <v>27800000</v>
      </c>
      <c r="T15" s="2">
        <v>47000</v>
      </c>
      <c r="U15" s="2">
        <v>19000</v>
      </c>
      <c r="V15" s="2">
        <v>0</v>
      </c>
      <c r="W15" s="2">
        <v>0</v>
      </c>
      <c r="X15" s="2">
        <v>66000</v>
      </c>
      <c r="Y15" s="26">
        <v>2.3741007194244606E-3</v>
      </c>
      <c r="Z15" s="2">
        <v>3570000</v>
      </c>
      <c r="AA15" s="2">
        <v>1257000</v>
      </c>
      <c r="AB15" s="2">
        <v>0</v>
      </c>
      <c r="AC15" s="2">
        <v>0</v>
      </c>
      <c r="AD15" s="2">
        <v>4827000</v>
      </c>
      <c r="AF15" s="23" t="s">
        <v>282</v>
      </c>
      <c r="AG15" s="2">
        <v>23400000</v>
      </c>
      <c r="AH15" s="2">
        <v>49000</v>
      </c>
      <c r="AI15" s="2">
        <v>23000</v>
      </c>
      <c r="AJ15" s="2">
        <v>0</v>
      </c>
      <c r="AK15" s="2">
        <v>0</v>
      </c>
      <c r="AL15" s="2">
        <v>72000</v>
      </c>
      <c r="AM15" s="26">
        <v>3.0769230769230769E-3</v>
      </c>
      <c r="AN15" s="2">
        <v>3627000</v>
      </c>
      <c r="AO15" s="2">
        <v>1551000</v>
      </c>
      <c r="AP15" s="2">
        <v>0</v>
      </c>
      <c r="AQ15" s="2">
        <v>0</v>
      </c>
      <c r="AR15" s="2">
        <v>5178000</v>
      </c>
      <c r="AU15" s="63"/>
    </row>
    <row r="16" spans="1:47" ht="15.75" customHeight="1" x14ac:dyDescent="0.2">
      <c r="A16" s="21">
        <v>8</v>
      </c>
      <c r="B16" s="21" t="s">
        <v>372</v>
      </c>
      <c r="C16" s="22"/>
      <c r="D16" s="23" t="s">
        <v>276</v>
      </c>
      <c r="E16" s="2">
        <v>21410000</v>
      </c>
      <c r="F16" s="2">
        <v>6834000</v>
      </c>
      <c r="G16" s="2">
        <v>2601000</v>
      </c>
      <c r="H16" s="2">
        <v>2987000</v>
      </c>
      <c r="I16" s="2">
        <v>82000</v>
      </c>
      <c r="J16" s="2">
        <v>12505000</v>
      </c>
      <c r="K16" s="24">
        <v>58.406566298123288</v>
      </c>
      <c r="L16" s="25">
        <v>2715000</v>
      </c>
      <c r="M16" s="25">
        <v>867000</v>
      </c>
      <c r="N16" s="25">
        <v>0</v>
      </c>
      <c r="O16" s="25">
        <v>1000</v>
      </c>
      <c r="P16" s="25">
        <v>3583000</v>
      </c>
      <c r="R16" s="23" t="s">
        <v>281</v>
      </c>
      <c r="S16" s="2">
        <v>21000000</v>
      </c>
      <c r="T16" s="2">
        <v>7029000</v>
      </c>
      <c r="U16" s="2">
        <v>4853000</v>
      </c>
      <c r="V16" s="2">
        <v>3235000</v>
      </c>
      <c r="W16" s="2">
        <v>73000</v>
      </c>
      <c r="X16" s="2">
        <v>15190000</v>
      </c>
      <c r="Y16" s="26">
        <v>0.72333333333333338</v>
      </c>
      <c r="Z16" s="2">
        <v>2762000</v>
      </c>
      <c r="AA16" s="2">
        <v>878000</v>
      </c>
      <c r="AB16" s="2">
        <v>0</v>
      </c>
      <c r="AC16" s="2">
        <v>2000</v>
      </c>
      <c r="AD16" s="2">
        <v>3642000</v>
      </c>
      <c r="AF16" s="23" t="s">
        <v>282</v>
      </c>
      <c r="AG16" s="2">
        <v>19900000</v>
      </c>
      <c r="AH16" s="2">
        <v>7171000</v>
      </c>
      <c r="AI16" s="2">
        <v>5928000</v>
      </c>
      <c r="AJ16" s="2">
        <v>3235000</v>
      </c>
      <c r="AK16" s="2">
        <v>80000</v>
      </c>
      <c r="AL16" s="2">
        <v>16414000</v>
      </c>
      <c r="AM16" s="26">
        <v>0.82482412060301502</v>
      </c>
      <c r="AN16" s="2">
        <v>2773000</v>
      </c>
      <c r="AO16" s="2">
        <v>1263000</v>
      </c>
      <c r="AP16" s="2">
        <v>0</v>
      </c>
      <c r="AQ16" s="2">
        <v>2000</v>
      </c>
      <c r="AR16" s="2">
        <v>4038000</v>
      </c>
      <c r="AU16" s="63"/>
    </row>
    <row r="17" spans="1:47" ht="15.75" customHeight="1" x14ac:dyDescent="0.2">
      <c r="A17" s="21">
        <v>9</v>
      </c>
      <c r="B17" s="21" t="s">
        <v>247</v>
      </c>
      <c r="C17" s="22"/>
      <c r="D17" s="23" t="s">
        <v>276</v>
      </c>
      <c r="E17" s="2">
        <v>14140000.000000002</v>
      </c>
      <c r="F17" s="2">
        <v>2390000</v>
      </c>
      <c r="G17" s="2">
        <v>46000</v>
      </c>
      <c r="H17" s="2">
        <v>385000</v>
      </c>
      <c r="I17" s="2">
        <v>0</v>
      </c>
      <c r="J17" s="2">
        <v>2821000</v>
      </c>
      <c r="K17" s="24">
        <v>19.950064185558851</v>
      </c>
      <c r="L17" s="25">
        <v>6736000</v>
      </c>
      <c r="M17" s="25">
        <v>153000</v>
      </c>
      <c r="N17" s="25">
        <v>0</v>
      </c>
      <c r="O17" s="25">
        <v>37000</v>
      </c>
      <c r="P17" s="25">
        <v>6926000</v>
      </c>
      <c r="R17" s="23" t="s">
        <v>281</v>
      </c>
      <c r="S17" s="2">
        <v>15400000</v>
      </c>
      <c r="T17" s="2">
        <v>2912000</v>
      </c>
      <c r="U17" s="2">
        <v>56000</v>
      </c>
      <c r="V17" s="2">
        <v>417000</v>
      </c>
      <c r="W17" s="2">
        <v>0</v>
      </c>
      <c r="X17" s="2">
        <v>3385000</v>
      </c>
      <c r="Y17" s="26">
        <v>0.21980519480519481</v>
      </c>
      <c r="Z17" s="2">
        <v>6743000</v>
      </c>
      <c r="AA17" s="2">
        <v>157000</v>
      </c>
      <c r="AB17" s="2">
        <v>0</v>
      </c>
      <c r="AC17" s="2">
        <v>0</v>
      </c>
      <c r="AD17" s="2">
        <v>6900000</v>
      </c>
      <c r="AF17" s="23" t="s">
        <v>282</v>
      </c>
      <c r="AG17" s="2">
        <v>12300000</v>
      </c>
      <c r="AH17" s="2">
        <v>2989000</v>
      </c>
      <c r="AI17" s="2">
        <v>71000</v>
      </c>
      <c r="AJ17" s="2">
        <v>417000</v>
      </c>
      <c r="AK17" s="2">
        <v>0</v>
      </c>
      <c r="AL17" s="2">
        <v>3477000</v>
      </c>
      <c r="AM17" s="26">
        <v>0.28268292682926827</v>
      </c>
      <c r="AN17" s="2">
        <v>6748000</v>
      </c>
      <c r="AO17" s="2">
        <v>201000</v>
      </c>
      <c r="AP17" s="2">
        <v>0</v>
      </c>
      <c r="AQ17" s="2">
        <v>0</v>
      </c>
      <c r="AR17" s="2">
        <v>6949000</v>
      </c>
      <c r="AU17" s="63"/>
    </row>
    <row r="18" spans="1:47" ht="15.75" customHeight="1" x14ac:dyDescent="0.2">
      <c r="A18" s="21">
        <v>10</v>
      </c>
      <c r="B18" s="21" t="s">
        <v>373</v>
      </c>
      <c r="C18" s="22"/>
      <c r="D18" s="23" t="s">
        <v>276</v>
      </c>
      <c r="E18" s="2">
        <v>10720000</v>
      </c>
      <c r="F18" s="2">
        <v>2645000</v>
      </c>
      <c r="G18" s="2">
        <v>457000</v>
      </c>
      <c r="H18" s="2">
        <v>37000</v>
      </c>
      <c r="I18" s="2">
        <v>0</v>
      </c>
      <c r="J18" s="2">
        <v>3139000</v>
      </c>
      <c r="K18" s="24">
        <v>29.278977099583788</v>
      </c>
      <c r="L18" s="25">
        <v>635000</v>
      </c>
      <c r="M18" s="25">
        <v>129000</v>
      </c>
      <c r="N18" s="25">
        <v>0</v>
      </c>
      <c r="O18" s="25">
        <v>0</v>
      </c>
      <c r="P18" s="25">
        <v>763000</v>
      </c>
      <c r="R18" s="23" t="s">
        <v>281</v>
      </c>
      <c r="S18" s="2">
        <v>14100000</v>
      </c>
      <c r="T18" s="2">
        <v>3096000</v>
      </c>
      <c r="U18" s="2">
        <v>690000</v>
      </c>
      <c r="V18" s="2">
        <v>40000</v>
      </c>
      <c r="W18" s="2">
        <v>0</v>
      </c>
      <c r="X18" s="2">
        <v>3826000</v>
      </c>
      <c r="Y18" s="26">
        <v>0.27134751773049648</v>
      </c>
      <c r="Z18" s="2">
        <v>635000</v>
      </c>
      <c r="AA18" s="2">
        <v>49000</v>
      </c>
      <c r="AB18" s="2">
        <v>0</v>
      </c>
      <c r="AC18" s="2">
        <v>0</v>
      </c>
      <c r="AD18" s="2">
        <v>684000</v>
      </c>
      <c r="AF18" s="23" t="s">
        <v>282</v>
      </c>
      <c r="AG18" s="2">
        <v>9700000</v>
      </c>
      <c r="AH18" s="2">
        <v>3149000</v>
      </c>
      <c r="AI18" s="2">
        <v>846000</v>
      </c>
      <c r="AJ18" s="2">
        <v>40000</v>
      </c>
      <c r="AK18" s="2">
        <v>0</v>
      </c>
      <c r="AL18" s="2">
        <v>4035000</v>
      </c>
      <c r="AM18" s="26">
        <v>0.41597938144329899</v>
      </c>
      <c r="AN18" s="2">
        <v>635000</v>
      </c>
      <c r="AO18" s="2">
        <v>72000</v>
      </c>
      <c r="AP18" s="2">
        <v>0</v>
      </c>
      <c r="AQ18" s="2">
        <v>0</v>
      </c>
      <c r="AR18" s="2">
        <v>707000</v>
      </c>
      <c r="AU18" s="63"/>
    </row>
    <row r="19" spans="1:47" ht="15.75" customHeight="1" x14ac:dyDescent="0.2">
      <c r="A19" s="21">
        <v>11</v>
      </c>
      <c r="B19" s="21" t="s">
        <v>374</v>
      </c>
      <c r="C19" s="22"/>
      <c r="D19" s="23" t="s">
        <v>276</v>
      </c>
      <c r="E19" s="2">
        <v>8490000</v>
      </c>
      <c r="F19" s="2">
        <v>1595000</v>
      </c>
      <c r="G19" s="2">
        <v>371000</v>
      </c>
      <c r="H19" s="2">
        <v>20000</v>
      </c>
      <c r="I19" s="2">
        <v>28000</v>
      </c>
      <c r="J19" s="2">
        <v>2014000</v>
      </c>
      <c r="K19" s="24">
        <v>23.723598895447399</v>
      </c>
      <c r="L19" s="25">
        <v>1021000</v>
      </c>
      <c r="M19" s="25">
        <v>279000</v>
      </c>
      <c r="N19" s="25">
        <v>0</v>
      </c>
      <c r="O19" s="25">
        <v>0</v>
      </c>
      <c r="P19" s="25">
        <v>1299000</v>
      </c>
      <c r="R19" s="23" t="s">
        <v>281</v>
      </c>
      <c r="S19" s="2">
        <v>9500000</v>
      </c>
      <c r="T19" s="2">
        <v>1860000</v>
      </c>
      <c r="U19" s="2">
        <v>440000</v>
      </c>
      <c r="V19" s="2">
        <v>22000</v>
      </c>
      <c r="W19" s="2">
        <v>0</v>
      </c>
      <c r="X19" s="2">
        <v>2322000</v>
      </c>
      <c r="Y19" s="26">
        <v>0.24442105263157896</v>
      </c>
      <c r="Z19" s="2">
        <v>1045000</v>
      </c>
      <c r="AA19" s="2">
        <v>421000</v>
      </c>
      <c r="AB19" s="2">
        <v>0</v>
      </c>
      <c r="AC19" s="2">
        <v>0</v>
      </c>
      <c r="AD19" s="2">
        <v>1466000</v>
      </c>
      <c r="AF19" s="23" t="s">
        <v>282</v>
      </c>
      <c r="AG19" s="2">
        <v>7600000</v>
      </c>
      <c r="AH19" s="2">
        <v>1913000</v>
      </c>
      <c r="AI19" s="2">
        <v>560000</v>
      </c>
      <c r="AJ19" s="2">
        <v>22000</v>
      </c>
      <c r="AK19" s="2">
        <v>0</v>
      </c>
      <c r="AL19" s="2">
        <v>2495000</v>
      </c>
      <c r="AM19" s="26">
        <v>0.32828947368421052</v>
      </c>
      <c r="AN19" s="2">
        <v>1049000</v>
      </c>
      <c r="AO19" s="2">
        <v>497000</v>
      </c>
      <c r="AP19" s="2">
        <v>0</v>
      </c>
      <c r="AQ19" s="2">
        <v>0</v>
      </c>
      <c r="AR19" s="2">
        <v>1546000</v>
      </c>
      <c r="AU19" s="63"/>
    </row>
    <row r="20" spans="1:47" ht="15.75" customHeight="1" x14ac:dyDescent="0.2">
      <c r="A20" s="21">
        <v>12</v>
      </c>
      <c r="B20" s="21" t="s">
        <v>235</v>
      </c>
      <c r="C20" s="22"/>
      <c r="D20" s="23" t="s">
        <v>276</v>
      </c>
      <c r="E20" s="2">
        <v>6910000</v>
      </c>
      <c r="F20" s="2">
        <v>1506000</v>
      </c>
      <c r="G20" s="2">
        <v>1904000</v>
      </c>
      <c r="H20" s="2">
        <v>0</v>
      </c>
      <c r="I20" s="2">
        <v>0</v>
      </c>
      <c r="J20" s="2">
        <v>3410000</v>
      </c>
      <c r="K20" s="24">
        <v>49.343130255480602</v>
      </c>
      <c r="L20" s="25">
        <v>426000</v>
      </c>
      <c r="M20" s="25">
        <v>369000</v>
      </c>
      <c r="N20" s="25">
        <v>0</v>
      </c>
      <c r="O20" s="25">
        <v>0</v>
      </c>
      <c r="P20" s="25">
        <v>795000</v>
      </c>
      <c r="R20" s="23" t="s">
        <v>281</v>
      </c>
      <c r="S20" s="2">
        <v>6900000</v>
      </c>
      <c r="T20" s="2">
        <v>1476000</v>
      </c>
      <c r="U20" s="2">
        <v>2120000</v>
      </c>
      <c r="V20" s="2">
        <v>0</v>
      </c>
      <c r="W20" s="2">
        <v>0</v>
      </c>
      <c r="X20" s="2">
        <v>3596000</v>
      </c>
      <c r="Y20" s="26">
        <v>0.52115942028985507</v>
      </c>
      <c r="Z20" s="2">
        <v>426000</v>
      </c>
      <c r="AA20" s="2">
        <v>346000</v>
      </c>
      <c r="AB20" s="2">
        <v>0</v>
      </c>
      <c r="AC20" s="2">
        <v>0</v>
      </c>
      <c r="AD20" s="2">
        <v>772000</v>
      </c>
      <c r="AF20" s="23" t="s">
        <v>282</v>
      </c>
      <c r="AG20" s="2">
        <v>6900000</v>
      </c>
      <c r="AH20" s="2">
        <v>1498000</v>
      </c>
      <c r="AI20" s="2">
        <v>3154000</v>
      </c>
      <c r="AJ20" s="2">
        <v>0</v>
      </c>
      <c r="AK20" s="2">
        <v>0</v>
      </c>
      <c r="AL20" s="2">
        <v>4652000</v>
      </c>
      <c r="AM20" s="26">
        <v>0.67420289855072468</v>
      </c>
      <c r="AN20" s="2">
        <v>426000</v>
      </c>
      <c r="AO20" s="2">
        <v>517000</v>
      </c>
      <c r="AP20" s="2">
        <v>0</v>
      </c>
      <c r="AQ20" s="2">
        <v>0</v>
      </c>
      <c r="AR20" s="2">
        <v>943000</v>
      </c>
      <c r="AU20" s="63"/>
    </row>
    <row r="21" spans="1:47" ht="15.75" customHeight="1" x14ac:dyDescent="0.2">
      <c r="A21" s="21">
        <v>13</v>
      </c>
      <c r="B21" s="21" t="s">
        <v>375</v>
      </c>
      <c r="C21" s="22"/>
      <c r="D21" s="23" t="s">
        <v>276</v>
      </c>
      <c r="E21" s="2">
        <v>38110000</v>
      </c>
      <c r="F21" s="2">
        <v>3892000</v>
      </c>
      <c r="G21" s="2">
        <v>1436000</v>
      </c>
      <c r="H21" s="2">
        <v>32000</v>
      </c>
      <c r="I21" s="2">
        <v>10000</v>
      </c>
      <c r="J21" s="2">
        <v>5369000</v>
      </c>
      <c r="K21" s="24">
        <v>14.089443666680101</v>
      </c>
      <c r="L21" s="25">
        <v>2848000</v>
      </c>
      <c r="M21" s="25">
        <v>1110000</v>
      </c>
      <c r="N21" s="25">
        <v>0</v>
      </c>
      <c r="O21" s="25">
        <v>2000</v>
      </c>
      <c r="P21" s="25">
        <v>3960000</v>
      </c>
      <c r="R21" s="23" t="s">
        <v>281</v>
      </c>
      <c r="S21" s="2">
        <v>37100000</v>
      </c>
      <c r="T21" s="2">
        <v>4001000</v>
      </c>
      <c r="U21" s="2">
        <v>1691000</v>
      </c>
      <c r="V21" s="2">
        <v>35000</v>
      </c>
      <c r="W21" s="2">
        <v>75000</v>
      </c>
      <c r="X21" s="2">
        <v>5802000</v>
      </c>
      <c r="Y21" s="26">
        <v>0.15638814016172506</v>
      </c>
      <c r="Z21" s="2">
        <v>2749000</v>
      </c>
      <c r="AA21" s="2">
        <v>1379000</v>
      </c>
      <c r="AB21" s="2">
        <v>0</v>
      </c>
      <c r="AC21" s="2">
        <v>3000</v>
      </c>
      <c r="AD21" s="2">
        <v>4131000</v>
      </c>
      <c r="AF21" s="23" t="s">
        <v>282</v>
      </c>
      <c r="AG21" s="2">
        <v>27900000</v>
      </c>
      <c r="AH21" s="2">
        <v>4206000</v>
      </c>
      <c r="AI21" s="2">
        <v>2089000</v>
      </c>
      <c r="AJ21" s="2">
        <v>35000</v>
      </c>
      <c r="AK21" s="2">
        <v>83000</v>
      </c>
      <c r="AL21" s="2">
        <v>6413000</v>
      </c>
      <c r="AM21" s="26">
        <v>0.22985663082437277</v>
      </c>
      <c r="AN21" s="2">
        <v>2785000</v>
      </c>
      <c r="AO21" s="2">
        <v>1682000</v>
      </c>
      <c r="AP21" s="2">
        <v>0</v>
      </c>
      <c r="AQ21" s="2">
        <v>3000</v>
      </c>
      <c r="AR21" s="2">
        <v>4470000</v>
      </c>
      <c r="AU21" s="63"/>
    </row>
    <row r="22" spans="1:47" ht="15.75" customHeight="1" x14ac:dyDescent="0.2">
      <c r="A22" s="21">
        <v>14</v>
      </c>
      <c r="B22" s="21" t="s">
        <v>376</v>
      </c>
      <c r="C22" s="22"/>
      <c r="D22" s="23" t="s">
        <v>276</v>
      </c>
      <c r="E22" s="2">
        <v>63310000</v>
      </c>
      <c r="F22" s="2">
        <v>10055000</v>
      </c>
      <c r="G22" s="2">
        <v>1272000</v>
      </c>
      <c r="H22" s="2">
        <v>33000</v>
      </c>
      <c r="I22" s="2">
        <v>61000</v>
      </c>
      <c r="J22" s="2">
        <v>11421000</v>
      </c>
      <c r="K22" s="24">
        <v>18.039228559536653</v>
      </c>
      <c r="L22" s="25">
        <v>4707000</v>
      </c>
      <c r="M22" s="25">
        <v>1532000</v>
      </c>
      <c r="N22" s="25">
        <v>0</v>
      </c>
      <c r="O22" s="25">
        <v>0</v>
      </c>
      <c r="P22" s="25">
        <v>6240000</v>
      </c>
      <c r="R22" s="23" t="s">
        <v>281</v>
      </c>
      <c r="S22" s="2">
        <v>60900000</v>
      </c>
      <c r="T22" s="2">
        <v>10710000</v>
      </c>
      <c r="U22" s="2">
        <v>1536000</v>
      </c>
      <c r="V22" s="2">
        <v>36000</v>
      </c>
      <c r="W22" s="2">
        <v>144000</v>
      </c>
      <c r="X22" s="2">
        <v>12426000</v>
      </c>
      <c r="Y22" s="26">
        <v>0.20403940886699506</v>
      </c>
      <c r="Z22" s="2">
        <v>4695000</v>
      </c>
      <c r="AA22" s="2">
        <v>1824000</v>
      </c>
      <c r="AB22" s="2">
        <v>0</v>
      </c>
      <c r="AC22" s="2">
        <v>0</v>
      </c>
      <c r="AD22" s="2">
        <v>6519000</v>
      </c>
      <c r="AF22" s="23" t="s">
        <v>282</v>
      </c>
      <c r="AG22" s="2">
        <v>48400000</v>
      </c>
      <c r="AH22" s="2">
        <v>11147000</v>
      </c>
      <c r="AI22" s="2">
        <v>1850000</v>
      </c>
      <c r="AJ22" s="2">
        <v>36000</v>
      </c>
      <c r="AK22" s="2">
        <v>158000</v>
      </c>
      <c r="AL22" s="2">
        <v>13191000</v>
      </c>
      <c r="AM22" s="26">
        <v>0.27254132231404959</v>
      </c>
      <c r="AN22" s="2">
        <v>4723000</v>
      </c>
      <c r="AO22" s="2">
        <v>2189000</v>
      </c>
      <c r="AP22" s="2">
        <v>0</v>
      </c>
      <c r="AQ22" s="2">
        <v>0</v>
      </c>
      <c r="AR22" s="2">
        <v>6912000</v>
      </c>
      <c r="AU22" s="63"/>
    </row>
    <row r="23" spans="1:47" ht="15.75" customHeight="1" x14ac:dyDescent="0.2">
      <c r="A23" s="21">
        <v>15</v>
      </c>
      <c r="B23" s="21" t="s">
        <v>377</v>
      </c>
      <c r="C23" s="22"/>
      <c r="D23" s="23" t="s">
        <v>276</v>
      </c>
      <c r="E23" s="2">
        <v>10609999.999999998</v>
      </c>
      <c r="F23" s="2">
        <v>602000</v>
      </c>
      <c r="G23" s="2">
        <v>483000</v>
      </c>
      <c r="H23" s="2">
        <v>363000</v>
      </c>
      <c r="I23" s="2">
        <v>0</v>
      </c>
      <c r="J23" s="2">
        <v>1448000</v>
      </c>
      <c r="K23" s="24">
        <v>13.645767718474602</v>
      </c>
      <c r="L23" s="25">
        <v>567000</v>
      </c>
      <c r="M23" s="25">
        <v>443000</v>
      </c>
      <c r="N23" s="25">
        <v>0</v>
      </c>
      <c r="O23" s="25">
        <v>0</v>
      </c>
      <c r="P23" s="25">
        <v>1010000</v>
      </c>
      <c r="R23" s="23" t="s">
        <v>281</v>
      </c>
      <c r="S23" s="2">
        <v>11000000</v>
      </c>
      <c r="T23" s="2">
        <v>595000</v>
      </c>
      <c r="U23" s="2">
        <v>574000</v>
      </c>
      <c r="V23" s="2">
        <v>393000</v>
      </c>
      <c r="W23" s="2">
        <v>0</v>
      </c>
      <c r="X23" s="2">
        <v>1562000</v>
      </c>
      <c r="Y23" s="26">
        <v>0.14199999999999999</v>
      </c>
      <c r="Z23" s="2">
        <v>587000</v>
      </c>
      <c r="AA23" s="2">
        <v>521000</v>
      </c>
      <c r="AB23" s="2">
        <v>0</v>
      </c>
      <c r="AC23" s="2">
        <v>0</v>
      </c>
      <c r="AD23" s="2">
        <v>1108000</v>
      </c>
      <c r="AF23" s="23" t="s">
        <v>282</v>
      </c>
      <c r="AG23" s="2">
        <v>8400000</v>
      </c>
      <c r="AH23" s="2">
        <v>620000</v>
      </c>
      <c r="AI23" s="2">
        <v>699000</v>
      </c>
      <c r="AJ23" s="2">
        <v>393000</v>
      </c>
      <c r="AK23" s="2">
        <v>0</v>
      </c>
      <c r="AL23" s="2">
        <v>1712000</v>
      </c>
      <c r="AM23" s="26">
        <v>0.2038095238095238</v>
      </c>
      <c r="AN23" s="2">
        <v>598000</v>
      </c>
      <c r="AO23" s="2">
        <v>638000</v>
      </c>
      <c r="AP23" s="2">
        <v>0</v>
      </c>
      <c r="AQ23" s="2">
        <v>0</v>
      </c>
      <c r="AR23" s="2">
        <v>1236000</v>
      </c>
      <c r="AU23" s="63"/>
    </row>
    <row r="24" spans="1:47" ht="15.75" customHeight="1" x14ac:dyDescent="0.2">
      <c r="A24" s="21">
        <v>16</v>
      </c>
      <c r="B24" s="21" t="s">
        <v>277</v>
      </c>
      <c r="C24" s="22"/>
      <c r="D24" s="23" t="s">
        <v>276</v>
      </c>
      <c r="E24" s="2">
        <v>10940000</v>
      </c>
      <c r="F24" s="2">
        <v>596000</v>
      </c>
      <c r="G24" s="2">
        <v>3696000</v>
      </c>
      <c r="H24" s="2">
        <v>9000</v>
      </c>
      <c r="I24" s="2">
        <v>0</v>
      </c>
      <c r="J24" s="2">
        <v>4301000</v>
      </c>
      <c r="K24" s="24">
        <v>39.311767205646241</v>
      </c>
      <c r="L24" s="25">
        <v>0</v>
      </c>
      <c r="M24" s="25">
        <v>0</v>
      </c>
      <c r="N24" s="25">
        <v>0</v>
      </c>
      <c r="O24" s="25">
        <v>0</v>
      </c>
      <c r="P24" s="25">
        <v>0</v>
      </c>
      <c r="R24" s="23" t="s">
        <v>281</v>
      </c>
      <c r="S24" s="2">
        <v>14600000</v>
      </c>
      <c r="T24" s="2">
        <v>680000</v>
      </c>
      <c r="U24" s="2">
        <v>8295000</v>
      </c>
      <c r="V24" s="2">
        <v>10000</v>
      </c>
      <c r="W24" s="2">
        <v>0</v>
      </c>
      <c r="X24" s="2">
        <v>8985000</v>
      </c>
      <c r="Y24" s="26">
        <v>0.61541095890410957</v>
      </c>
      <c r="Z24" s="2">
        <v>0</v>
      </c>
      <c r="AA24" s="2">
        <v>0</v>
      </c>
      <c r="AB24" s="2">
        <v>0</v>
      </c>
      <c r="AC24" s="2">
        <v>0</v>
      </c>
      <c r="AD24" s="2">
        <v>0</v>
      </c>
      <c r="AF24" s="23" t="s">
        <v>282</v>
      </c>
      <c r="AG24" s="2">
        <v>10800000</v>
      </c>
      <c r="AH24" s="2">
        <v>683000</v>
      </c>
      <c r="AI24" s="2">
        <v>8089000</v>
      </c>
      <c r="AJ24" s="2">
        <v>10000</v>
      </c>
      <c r="AK24" s="2">
        <v>0</v>
      </c>
      <c r="AL24" s="2">
        <v>8782000</v>
      </c>
      <c r="AM24" s="26">
        <v>0.81314814814814818</v>
      </c>
      <c r="AN24" s="2">
        <v>0</v>
      </c>
      <c r="AO24" s="2">
        <v>0</v>
      </c>
      <c r="AP24" s="2">
        <v>0</v>
      </c>
      <c r="AQ24" s="2">
        <v>0</v>
      </c>
      <c r="AR24" s="2">
        <v>0</v>
      </c>
      <c r="AU24" s="63"/>
    </row>
    <row r="25" spans="1:47" ht="15.75" customHeight="1" x14ac:dyDescent="0.2">
      <c r="A25" s="21">
        <v>17</v>
      </c>
      <c r="B25" s="21" t="s">
        <v>278</v>
      </c>
      <c r="C25" s="22"/>
      <c r="D25" s="23" t="s">
        <v>276</v>
      </c>
      <c r="E25" s="2">
        <v>17050000</v>
      </c>
      <c r="F25" s="2">
        <v>2082000</v>
      </c>
      <c r="G25" s="2">
        <v>378000</v>
      </c>
      <c r="H25" s="2">
        <v>2983000</v>
      </c>
      <c r="I25" s="2">
        <v>26000</v>
      </c>
      <c r="J25" s="2">
        <v>5468000</v>
      </c>
      <c r="K25" s="24">
        <v>32.07045415416011</v>
      </c>
      <c r="L25" s="25">
        <v>3920000</v>
      </c>
      <c r="M25" s="25">
        <v>530000</v>
      </c>
      <c r="N25" s="25">
        <v>0</v>
      </c>
      <c r="O25" s="25">
        <v>86000</v>
      </c>
      <c r="P25" s="25">
        <v>4536000</v>
      </c>
      <c r="R25" s="23" t="s">
        <v>281</v>
      </c>
      <c r="S25" s="2">
        <v>18200000</v>
      </c>
      <c r="T25" s="2">
        <v>2363000</v>
      </c>
      <c r="U25" s="2">
        <v>432000</v>
      </c>
      <c r="V25" s="2">
        <v>3231000</v>
      </c>
      <c r="W25" s="2">
        <v>35000</v>
      </c>
      <c r="X25" s="2">
        <v>6061000</v>
      </c>
      <c r="Y25" s="26">
        <v>0.33302197802197803</v>
      </c>
      <c r="Z25" s="2">
        <v>3906000</v>
      </c>
      <c r="AA25" s="2">
        <v>594000</v>
      </c>
      <c r="AB25" s="2">
        <v>0</v>
      </c>
      <c r="AC25" s="2">
        <v>132000</v>
      </c>
      <c r="AD25" s="2">
        <v>4632000</v>
      </c>
      <c r="AF25" s="23" t="s">
        <v>282</v>
      </c>
      <c r="AG25" s="2">
        <v>14000000</v>
      </c>
      <c r="AH25" s="2">
        <v>2455000</v>
      </c>
      <c r="AI25" s="2">
        <v>549000</v>
      </c>
      <c r="AJ25" s="2">
        <v>3231000</v>
      </c>
      <c r="AK25" s="2">
        <v>38000</v>
      </c>
      <c r="AL25" s="2">
        <v>6273000</v>
      </c>
      <c r="AM25" s="26">
        <v>0.44807142857142856</v>
      </c>
      <c r="AN25" s="2">
        <v>3927000</v>
      </c>
      <c r="AO25" s="2">
        <v>754000</v>
      </c>
      <c r="AP25" s="2">
        <v>0</v>
      </c>
      <c r="AQ25" s="2">
        <v>143000</v>
      </c>
      <c r="AR25" s="2">
        <v>4824000</v>
      </c>
      <c r="AU25" s="63"/>
    </row>
    <row r="26" spans="1:47" ht="15.75" customHeight="1" x14ac:dyDescent="0.2">
      <c r="A26" s="21">
        <v>18</v>
      </c>
      <c r="B26" s="21" t="s">
        <v>139</v>
      </c>
      <c r="C26" s="22"/>
      <c r="D26" s="23" t="s">
        <v>276</v>
      </c>
      <c r="E26" s="2">
        <v>12560000</v>
      </c>
      <c r="F26" s="2">
        <v>7602000</v>
      </c>
      <c r="G26" s="2">
        <v>1391000</v>
      </c>
      <c r="H26" s="2">
        <v>216000</v>
      </c>
      <c r="I26" s="2">
        <v>32000</v>
      </c>
      <c r="J26" s="2">
        <v>9241000</v>
      </c>
      <c r="K26" s="24">
        <v>73.578574191759614</v>
      </c>
      <c r="L26" s="25">
        <v>292000</v>
      </c>
      <c r="M26" s="25">
        <v>14000</v>
      </c>
      <c r="N26" s="25">
        <v>0</v>
      </c>
      <c r="O26" s="25">
        <v>0</v>
      </c>
      <c r="P26" s="25">
        <v>306000</v>
      </c>
      <c r="R26" s="23" t="s">
        <v>281</v>
      </c>
      <c r="S26" s="2">
        <v>18000000</v>
      </c>
      <c r="T26" s="2">
        <v>8432000</v>
      </c>
      <c r="U26" s="2">
        <v>3866000</v>
      </c>
      <c r="V26" s="2">
        <v>234000</v>
      </c>
      <c r="W26" s="2">
        <v>0</v>
      </c>
      <c r="X26" s="2">
        <v>12532000</v>
      </c>
      <c r="Y26" s="26">
        <v>0.69622222222222219</v>
      </c>
      <c r="Z26" s="2">
        <v>292000</v>
      </c>
      <c r="AA26" s="2">
        <v>13000</v>
      </c>
      <c r="AB26" s="2">
        <v>0</v>
      </c>
      <c r="AC26" s="2">
        <v>0</v>
      </c>
      <c r="AD26" s="2">
        <v>305000</v>
      </c>
      <c r="AF26" s="23" t="s">
        <v>282</v>
      </c>
      <c r="AG26" s="2">
        <v>9300000</v>
      </c>
      <c r="AH26" s="2">
        <v>8447000</v>
      </c>
      <c r="AI26" s="2">
        <v>3793000</v>
      </c>
      <c r="AJ26" s="2">
        <v>234000</v>
      </c>
      <c r="AK26" s="2">
        <v>0</v>
      </c>
      <c r="AL26" s="2">
        <v>12474000</v>
      </c>
      <c r="AM26" s="26">
        <v>1.3412903225806452</v>
      </c>
      <c r="AN26" s="2">
        <v>292000</v>
      </c>
      <c r="AO26" s="2">
        <v>13000</v>
      </c>
      <c r="AP26" s="2">
        <v>0</v>
      </c>
      <c r="AQ26" s="2">
        <v>0</v>
      </c>
      <c r="AR26" s="2">
        <v>305000</v>
      </c>
      <c r="AU26" s="63"/>
    </row>
    <row r="27" spans="1:47" ht="15.75" customHeight="1" x14ac:dyDescent="0.2">
      <c r="A27" s="21">
        <v>19</v>
      </c>
      <c r="B27" s="21" t="s">
        <v>61</v>
      </c>
      <c r="C27" s="22"/>
      <c r="D27" s="23" t="s">
        <v>276</v>
      </c>
      <c r="E27" s="2">
        <v>6180000</v>
      </c>
      <c r="F27" s="2">
        <v>2184000</v>
      </c>
      <c r="G27" s="2">
        <v>545000</v>
      </c>
      <c r="H27" s="2">
        <v>328000</v>
      </c>
      <c r="I27" s="2">
        <v>122000</v>
      </c>
      <c r="J27" s="2">
        <v>3178000</v>
      </c>
      <c r="K27" s="24">
        <v>51.426330314008986</v>
      </c>
      <c r="L27" s="25">
        <v>429000</v>
      </c>
      <c r="M27" s="25">
        <v>53000</v>
      </c>
      <c r="N27" s="25">
        <v>0</v>
      </c>
      <c r="O27" s="25">
        <v>0</v>
      </c>
      <c r="P27" s="25">
        <v>481000</v>
      </c>
      <c r="R27" s="23" t="s">
        <v>281</v>
      </c>
      <c r="S27" s="2">
        <v>6700000</v>
      </c>
      <c r="T27" s="2">
        <v>2682000</v>
      </c>
      <c r="U27" s="2">
        <v>2756000</v>
      </c>
      <c r="V27" s="2">
        <v>355000</v>
      </c>
      <c r="W27" s="2">
        <v>163000</v>
      </c>
      <c r="X27" s="2">
        <v>5956000</v>
      </c>
      <c r="Y27" s="26">
        <v>0.888955223880597</v>
      </c>
      <c r="Z27" s="2">
        <v>429000</v>
      </c>
      <c r="AA27" s="2">
        <v>49000</v>
      </c>
      <c r="AB27" s="2">
        <v>0</v>
      </c>
      <c r="AC27" s="2">
        <v>0</v>
      </c>
      <c r="AD27" s="2">
        <v>478000</v>
      </c>
      <c r="AF27" s="23" t="s">
        <v>282</v>
      </c>
      <c r="AG27" s="2">
        <v>5400000</v>
      </c>
      <c r="AH27" s="2">
        <v>2728000</v>
      </c>
      <c r="AI27" s="2">
        <v>2892000</v>
      </c>
      <c r="AJ27" s="2">
        <v>355000</v>
      </c>
      <c r="AK27" s="2">
        <v>180000</v>
      </c>
      <c r="AL27" s="2">
        <v>6155000</v>
      </c>
      <c r="AM27" s="26">
        <v>1.1398148148148148</v>
      </c>
      <c r="AN27" s="2">
        <v>429000</v>
      </c>
      <c r="AO27" s="2">
        <v>71000</v>
      </c>
      <c r="AP27" s="2">
        <v>0</v>
      </c>
      <c r="AQ27" s="2">
        <v>0</v>
      </c>
      <c r="AR27" s="2">
        <v>500000</v>
      </c>
      <c r="AU27" s="63"/>
    </row>
    <row r="28" spans="1:47" ht="15.75" customHeight="1" x14ac:dyDescent="0.2">
      <c r="A28" s="21">
        <v>20</v>
      </c>
      <c r="B28" s="21" t="s">
        <v>53</v>
      </c>
      <c r="C28" s="22"/>
      <c r="D28" s="23" t="s">
        <v>276</v>
      </c>
      <c r="E28" s="2">
        <v>85270000</v>
      </c>
      <c r="F28" s="2">
        <v>18732000</v>
      </c>
      <c r="G28" s="2">
        <v>1617000</v>
      </c>
      <c r="H28" s="2">
        <v>24535000</v>
      </c>
      <c r="I28" s="2">
        <v>79000</v>
      </c>
      <c r="J28" s="2">
        <v>44963000</v>
      </c>
      <c r="K28" s="24">
        <v>52.729643112120897</v>
      </c>
      <c r="L28" s="25">
        <v>0</v>
      </c>
      <c r="M28" s="25">
        <v>0</v>
      </c>
      <c r="N28" s="25">
        <v>0</v>
      </c>
      <c r="O28" s="25">
        <v>0</v>
      </c>
      <c r="P28" s="25">
        <v>0</v>
      </c>
      <c r="R28" s="23" t="s">
        <v>281</v>
      </c>
      <c r="S28" s="2">
        <v>86800000</v>
      </c>
      <c r="T28" s="2">
        <v>22745000</v>
      </c>
      <c r="U28" s="2">
        <v>8141000</v>
      </c>
      <c r="V28" s="2">
        <v>26576000</v>
      </c>
      <c r="W28" s="2">
        <v>0</v>
      </c>
      <c r="X28" s="2">
        <v>57462000</v>
      </c>
      <c r="Y28" s="26">
        <v>0.66200460829493091</v>
      </c>
      <c r="Z28" s="2">
        <v>0</v>
      </c>
      <c r="AA28" s="2">
        <v>0</v>
      </c>
      <c r="AB28" s="2">
        <v>0</v>
      </c>
      <c r="AC28" s="2">
        <v>0</v>
      </c>
      <c r="AD28" s="2">
        <v>0</v>
      </c>
      <c r="AF28" s="23" t="s">
        <v>282</v>
      </c>
      <c r="AG28" s="2">
        <v>80200000</v>
      </c>
      <c r="AH28" s="2">
        <v>23200000</v>
      </c>
      <c r="AI28" s="2">
        <v>8385000</v>
      </c>
      <c r="AJ28" s="2">
        <v>26576000</v>
      </c>
      <c r="AK28" s="2">
        <v>0</v>
      </c>
      <c r="AL28" s="2">
        <v>58161000</v>
      </c>
      <c r="AM28" s="26">
        <v>0.72519950124688282</v>
      </c>
      <c r="AN28" s="2">
        <v>0</v>
      </c>
      <c r="AO28" s="2">
        <v>0</v>
      </c>
      <c r="AP28" s="2">
        <v>0</v>
      </c>
      <c r="AQ28" s="2">
        <v>0</v>
      </c>
      <c r="AR28" s="2">
        <v>0</v>
      </c>
      <c r="AU28" s="63"/>
    </row>
    <row r="29" spans="1:47" ht="15.75" customHeight="1" x14ac:dyDescent="0.2">
      <c r="A29" s="21">
        <v>21</v>
      </c>
      <c r="B29" s="21" t="s">
        <v>41</v>
      </c>
      <c r="C29" s="22"/>
      <c r="D29" s="23" t="s">
        <v>276</v>
      </c>
      <c r="E29" s="2">
        <v>65130000.000000015</v>
      </c>
      <c r="F29" s="2">
        <v>13065000</v>
      </c>
      <c r="G29" s="2">
        <v>26589000</v>
      </c>
      <c r="H29" s="2">
        <v>5803000</v>
      </c>
      <c r="I29" s="2">
        <v>74000</v>
      </c>
      <c r="J29" s="2">
        <v>45530000</v>
      </c>
      <c r="K29" s="24">
        <v>69.906116739544416</v>
      </c>
      <c r="L29" s="25">
        <v>88000</v>
      </c>
      <c r="M29" s="25">
        <v>0</v>
      </c>
      <c r="N29" s="25">
        <v>0</v>
      </c>
      <c r="O29" s="25">
        <v>0</v>
      </c>
      <c r="P29" s="25">
        <v>89000</v>
      </c>
      <c r="R29" s="23" t="s">
        <v>281</v>
      </c>
      <c r="S29" s="2">
        <v>76600000</v>
      </c>
      <c r="T29" s="2">
        <v>21921000</v>
      </c>
      <c r="U29" s="2">
        <v>38806000</v>
      </c>
      <c r="V29" s="2">
        <v>6286000</v>
      </c>
      <c r="W29" s="2">
        <v>0</v>
      </c>
      <c r="X29" s="2">
        <v>67013000</v>
      </c>
      <c r="Y29" s="26">
        <v>0.87484334203655356</v>
      </c>
      <c r="Z29" s="2">
        <v>88000</v>
      </c>
      <c r="AA29" s="2">
        <v>0</v>
      </c>
      <c r="AB29" s="2">
        <v>0</v>
      </c>
      <c r="AC29" s="2">
        <v>0</v>
      </c>
      <c r="AD29" s="2">
        <v>88000</v>
      </c>
      <c r="AF29" s="23" t="s">
        <v>282</v>
      </c>
      <c r="AG29" s="2">
        <v>66300000</v>
      </c>
      <c r="AH29" s="2">
        <v>21996000</v>
      </c>
      <c r="AI29" s="2">
        <v>38733000</v>
      </c>
      <c r="AJ29" s="2">
        <v>6286000</v>
      </c>
      <c r="AK29" s="2">
        <v>0</v>
      </c>
      <c r="AL29" s="2">
        <v>67015000</v>
      </c>
      <c r="AM29" s="26">
        <v>1.0107843137254902</v>
      </c>
      <c r="AN29" s="2">
        <v>88000</v>
      </c>
      <c r="AO29" s="2">
        <v>0</v>
      </c>
      <c r="AP29" s="2">
        <v>0</v>
      </c>
      <c r="AQ29" s="2">
        <v>0</v>
      </c>
      <c r="AR29" s="2">
        <v>88000</v>
      </c>
      <c r="AU29" s="63"/>
    </row>
    <row r="30" spans="1:47" ht="15.75" customHeight="1" x14ac:dyDescent="0.2">
      <c r="A30" s="21">
        <v>22</v>
      </c>
      <c r="B30" s="21" t="s">
        <v>91</v>
      </c>
      <c r="C30" s="22"/>
      <c r="D30" s="23" t="s">
        <v>276</v>
      </c>
      <c r="E30" s="2">
        <v>19360000</v>
      </c>
      <c r="F30" s="2">
        <v>1099000</v>
      </c>
      <c r="G30" s="2">
        <v>1075000</v>
      </c>
      <c r="H30" s="2">
        <v>110000</v>
      </c>
      <c r="I30" s="2">
        <v>11000</v>
      </c>
      <c r="J30" s="2">
        <v>2294000</v>
      </c>
      <c r="K30" s="24">
        <v>11.851079511328919</v>
      </c>
      <c r="L30" s="25">
        <v>501000</v>
      </c>
      <c r="M30" s="25">
        <v>569000</v>
      </c>
      <c r="N30" s="25">
        <v>0</v>
      </c>
      <c r="O30" s="25">
        <v>0</v>
      </c>
      <c r="P30" s="25">
        <v>1070000</v>
      </c>
      <c r="R30" s="23" t="s">
        <v>281</v>
      </c>
      <c r="S30" s="2">
        <v>19300000</v>
      </c>
      <c r="T30" s="2">
        <v>1119000</v>
      </c>
      <c r="U30" s="2">
        <v>1079000</v>
      </c>
      <c r="V30" s="2">
        <v>119000</v>
      </c>
      <c r="W30" s="2">
        <v>0</v>
      </c>
      <c r="X30" s="2">
        <v>2317000</v>
      </c>
      <c r="Y30" s="26">
        <v>0.12005181347150259</v>
      </c>
      <c r="Z30" s="2">
        <v>503000</v>
      </c>
      <c r="AA30" s="2">
        <v>772000</v>
      </c>
      <c r="AB30" s="2">
        <v>0</v>
      </c>
      <c r="AC30" s="2">
        <v>0</v>
      </c>
      <c r="AD30" s="2">
        <v>1275000</v>
      </c>
      <c r="AF30" s="23" t="s">
        <v>282</v>
      </c>
      <c r="AG30" s="2">
        <v>16500000</v>
      </c>
      <c r="AH30" s="2">
        <v>1172000</v>
      </c>
      <c r="AI30" s="2">
        <v>1514000</v>
      </c>
      <c r="AJ30" s="2">
        <v>119000</v>
      </c>
      <c r="AK30" s="2">
        <v>0</v>
      </c>
      <c r="AL30" s="2">
        <v>2805000</v>
      </c>
      <c r="AM30" s="26">
        <v>0.17</v>
      </c>
      <c r="AN30" s="2">
        <v>507000</v>
      </c>
      <c r="AO30" s="2">
        <v>980000</v>
      </c>
      <c r="AP30" s="2">
        <v>0</v>
      </c>
      <c r="AQ30" s="2">
        <v>0</v>
      </c>
      <c r="AR30" s="2">
        <v>1487000</v>
      </c>
      <c r="AU30" s="63"/>
    </row>
    <row r="31" spans="1:47" ht="15.75" customHeight="1" x14ac:dyDescent="0.2">
      <c r="A31" s="21">
        <v>23</v>
      </c>
      <c r="B31" s="21" t="s">
        <v>31</v>
      </c>
      <c r="C31" s="22"/>
      <c r="D31" s="23" t="s">
        <v>276</v>
      </c>
      <c r="E31" s="2">
        <v>17120000</v>
      </c>
      <c r="F31" s="2">
        <v>5534000</v>
      </c>
      <c r="G31" s="2">
        <v>1232000</v>
      </c>
      <c r="H31" s="2">
        <v>237000</v>
      </c>
      <c r="I31" s="2">
        <v>0</v>
      </c>
      <c r="J31" s="2">
        <v>7003000</v>
      </c>
      <c r="K31" s="24">
        <v>40.904144060920331</v>
      </c>
      <c r="L31" s="25">
        <v>665000</v>
      </c>
      <c r="M31" s="25">
        <v>179000</v>
      </c>
      <c r="N31" s="25">
        <v>0</v>
      </c>
      <c r="O31" s="25">
        <v>0</v>
      </c>
      <c r="P31" s="25">
        <v>845000</v>
      </c>
      <c r="R31" s="23" t="s">
        <v>281</v>
      </c>
      <c r="S31" s="2">
        <v>16500000</v>
      </c>
      <c r="T31" s="2">
        <v>5997000</v>
      </c>
      <c r="U31" s="2">
        <v>1325000</v>
      </c>
      <c r="V31" s="2">
        <v>257000</v>
      </c>
      <c r="W31" s="2">
        <v>0</v>
      </c>
      <c r="X31" s="2">
        <v>7579000</v>
      </c>
      <c r="Y31" s="26">
        <v>0.45933333333333332</v>
      </c>
      <c r="Z31" s="2">
        <v>662000</v>
      </c>
      <c r="AA31" s="2">
        <v>159000</v>
      </c>
      <c r="AB31" s="2">
        <v>0</v>
      </c>
      <c r="AC31" s="2">
        <v>0</v>
      </c>
      <c r="AD31" s="2">
        <v>821000</v>
      </c>
      <c r="AF31" s="23" t="s">
        <v>282</v>
      </c>
      <c r="AG31" s="2">
        <v>14300000</v>
      </c>
      <c r="AH31" s="2">
        <v>6194000</v>
      </c>
      <c r="AI31" s="2">
        <v>1727000</v>
      </c>
      <c r="AJ31" s="2">
        <v>257000</v>
      </c>
      <c r="AK31" s="2">
        <v>0</v>
      </c>
      <c r="AL31" s="2">
        <v>8178000</v>
      </c>
      <c r="AM31" s="26">
        <v>0.57188811188811184</v>
      </c>
      <c r="AN31" s="2">
        <v>663000</v>
      </c>
      <c r="AO31" s="2">
        <v>208000</v>
      </c>
      <c r="AP31" s="2">
        <v>0</v>
      </c>
      <c r="AQ31" s="2">
        <v>0</v>
      </c>
      <c r="AR31" s="2">
        <v>871000</v>
      </c>
      <c r="AU31" s="63"/>
    </row>
    <row r="32" spans="1:47" ht="15.75" customHeight="1" x14ac:dyDescent="0.2">
      <c r="A32" s="21">
        <v>24</v>
      </c>
      <c r="B32" s="21" t="s">
        <v>378</v>
      </c>
      <c r="C32" s="22"/>
      <c r="D32" s="23" t="s">
        <v>276</v>
      </c>
      <c r="E32" s="2">
        <v>52720000</v>
      </c>
      <c r="F32" s="2">
        <v>9012000</v>
      </c>
      <c r="G32" s="2">
        <v>2007000</v>
      </c>
      <c r="H32" s="2">
        <v>5416000</v>
      </c>
      <c r="I32" s="2">
        <v>30000</v>
      </c>
      <c r="J32" s="2">
        <v>16466000</v>
      </c>
      <c r="K32" s="24">
        <v>31.232129502385952</v>
      </c>
      <c r="L32" s="25">
        <v>104000</v>
      </c>
      <c r="M32" s="25">
        <v>32000</v>
      </c>
      <c r="N32" s="25">
        <v>0</v>
      </c>
      <c r="O32" s="25">
        <v>0</v>
      </c>
      <c r="P32" s="25">
        <v>137000</v>
      </c>
      <c r="R32" s="23" t="s">
        <v>281</v>
      </c>
      <c r="S32" s="2">
        <v>53700000</v>
      </c>
      <c r="T32" s="2">
        <v>10006000</v>
      </c>
      <c r="U32" s="2">
        <v>1730000</v>
      </c>
      <c r="V32" s="2">
        <v>5866000</v>
      </c>
      <c r="W32" s="2">
        <v>0</v>
      </c>
      <c r="X32" s="2">
        <v>17602000</v>
      </c>
      <c r="Y32" s="26">
        <v>0.32778398510242085</v>
      </c>
      <c r="Z32" s="2">
        <v>104000</v>
      </c>
      <c r="AA32" s="2">
        <v>35000</v>
      </c>
      <c r="AB32" s="2">
        <v>0</v>
      </c>
      <c r="AC32" s="2">
        <v>0</v>
      </c>
      <c r="AD32" s="2">
        <v>139000</v>
      </c>
      <c r="AF32" s="23" t="s">
        <v>282</v>
      </c>
      <c r="AG32" s="2">
        <v>44700000</v>
      </c>
      <c r="AH32" s="2">
        <v>10363000</v>
      </c>
      <c r="AI32" s="2">
        <v>2164000</v>
      </c>
      <c r="AJ32" s="2">
        <v>5866000</v>
      </c>
      <c r="AK32" s="2">
        <v>0</v>
      </c>
      <c r="AL32" s="2">
        <v>18393000</v>
      </c>
      <c r="AM32" s="26">
        <v>0.41147651006711411</v>
      </c>
      <c r="AN32" s="2">
        <v>104000</v>
      </c>
      <c r="AO32" s="2">
        <v>46000</v>
      </c>
      <c r="AP32" s="2">
        <v>0</v>
      </c>
      <c r="AQ32" s="2">
        <v>0</v>
      </c>
      <c r="AR32" s="2">
        <v>150000</v>
      </c>
      <c r="AU32" s="63"/>
    </row>
    <row r="33" spans="1:47" ht="15.75" customHeight="1" x14ac:dyDescent="0.2">
      <c r="A33" s="21">
        <v>25</v>
      </c>
      <c r="B33" s="21" t="s">
        <v>81</v>
      </c>
      <c r="C33" s="22"/>
      <c r="D33" s="23" t="s">
        <v>276</v>
      </c>
      <c r="E33" s="2">
        <v>36730000</v>
      </c>
      <c r="F33" s="2">
        <v>10740000</v>
      </c>
      <c r="G33" s="2">
        <v>157000</v>
      </c>
      <c r="H33" s="2">
        <v>2108000</v>
      </c>
      <c r="I33" s="2">
        <v>7000</v>
      </c>
      <c r="J33" s="2">
        <v>13013000</v>
      </c>
      <c r="K33" s="24">
        <v>35.427508062220198</v>
      </c>
      <c r="L33" s="25">
        <v>0</v>
      </c>
      <c r="M33" s="25">
        <v>0</v>
      </c>
      <c r="N33" s="25">
        <v>0</v>
      </c>
      <c r="O33" s="25">
        <v>0</v>
      </c>
      <c r="P33" s="25">
        <v>0</v>
      </c>
      <c r="R33" s="23" t="s">
        <v>281</v>
      </c>
      <c r="S33" s="2">
        <v>36500000</v>
      </c>
      <c r="T33" s="2">
        <v>12218000</v>
      </c>
      <c r="U33" s="2">
        <v>269000</v>
      </c>
      <c r="V33" s="2">
        <v>2283000</v>
      </c>
      <c r="W33" s="2">
        <v>0</v>
      </c>
      <c r="X33" s="2">
        <v>14770000</v>
      </c>
      <c r="Y33" s="26">
        <v>0.40465753424657536</v>
      </c>
      <c r="Z33" s="2">
        <v>0</v>
      </c>
      <c r="AA33" s="2">
        <v>0</v>
      </c>
      <c r="AB33" s="2">
        <v>0</v>
      </c>
      <c r="AC33" s="2">
        <v>0</v>
      </c>
      <c r="AD33" s="2">
        <v>0</v>
      </c>
      <c r="AF33" s="23" t="s">
        <v>282</v>
      </c>
      <c r="AG33" s="2">
        <v>29900000</v>
      </c>
      <c r="AH33" s="2">
        <v>12568000</v>
      </c>
      <c r="AI33" s="2">
        <v>339000</v>
      </c>
      <c r="AJ33" s="2">
        <v>2283000</v>
      </c>
      <c r="AK33" s="2">
        <v>0</v>
      </c>
      <c r="AL33" s="2">
        <v>15190000</v>
      </c>
      <c r="AM33" s="26">
        <v>0.50802675585284285</v>
      </c>
      <c r="AN33" s="2">
        <v>0</v>
      </c>
      <c r="AO33" s="2">
        <v>0</v>
      </c>
      <c r="AP33" s="2">
        <v>0</v>
      </c>
      <c r="AQ33" s="2">
        <v>0</v>
      </c>
      <c r="AR33" s="2">
        <v>0</v>
      </c>
      <c r="AU33" s="63"/>
    </row>
    <row r="34" spans="1:47" ht="15.75" customHeight="1" x14ac:dyDescent="0.2">
      <c r="A34" s="21">
        <v>26</v>
      </c>
      <c r="B34" s="21" t="s">
        <v>67</v>
      </c>
      <c r="C34" s="22"/>
      <c r="D34" s="23" t="s">
        <v>276</v>
      </c>
      <c r="E34" s="2">
        <v>80070000</v>
      </c>
      <c r="F34" s="2">
        <v>4120000</v>
      </c>
      <c r="G34" s="2">
        <v>29000</v>
      </c>
      <c r="H34" s="2">
        <v>43000000</v>
      </c>
      <c r="I34" s="2">
        <v>0</v>
      </c>
      <c r="J34" s="2">
        <v>47150000</v>
      </c>
      <c r="K34" s="24">
        <v>58.885770204290267</v>
      </c>
      <c r="L34" s="25">
        <v>0</v>
      </c>
      <c r="M34" s="25">
        <v>0</v>
      </c>
      <c r="N34" s="25">
        <v>0</v>
      </c>
      <c r="O34" s="25">
        <v>0</v>
      </c>
      <c r="P34" s="25">
        <v>0</v>
      </c>
      <c r="R34" s="23" t="s">
        <v>281</v>
      </c>
      <c r="S34" s="2">
        <v>79900000</v>
      </c>
      <c r="T34" s="2">
        <v>4711000</v>
      </c>
      <c r="U34" s="2">
        <v>29000</v>
      </c>
      <c r="V34" s="2">
        <v>46577000</v>
      </c>
      <c r="W34" s="2">
        <v>0</v>
      </c>
      <c r="X34" s="2">
        <v>51317000</v>
      </c>
      <c r="Y34" s="26">
        <v>0.64226533166458077</v>
      </c>
      <c r="Z34" s="2">
        <v>0</v>
      </c>
      <c r="AA34" s="2">
        <v>0</v>
      </c>
      <c r="AB34" s="2">
        <v>0</v>
      </c>
      <c r="AC34" s="2">
        <v>0</v>
      </c>
      <c r="AD34" s="2">
        <v>0</v>
      </c>
      <c r="AF34" s="23" t="s">
        <v>282</v>
      </c>
      <c r="AG34" s="2">
        <v>68600000</v>
      </c>
      <c r="AH34" s="2">
        <v>4849000</v>
      </c>
      <c r="AI34" s="2">
        <v>40000</v>
      </c>
      <c r="AJ34" s="2">
        <v>46577000</v>
      </c>
      <c r="AK34" s="2">
        <v>0</v>
      </c>
      <c r="AL34" s="2">
        <v>51466000</v>
      </c>
      <c r="AM34" s="26">
        <v>0.75023323615160353</v>
      </c>
      <c r="AN34" s="2">
        <v>0</v>
      </c>
      <c r="AO34" s="2">
        <v>0</v>
      </c>
      <c r="AP34" s="2">
        <v>0</v>
      </c>
      <c r="AQ34" s="2">
        <v>0</v>
      </c>
      <c r="AR34" s="2">
        <v>0</v>
      </c>
      <c r="AU34" s="63"/>
    </row>
    <row r="35" spans="1:47" ht="15.75" customHeight="1" x14ac:dyDescent="0.2">
      <c r="A35" s="21">
        <v>27</v>
      </c>
      <c r="B35" s="21" t="s">
        <v>379</v>
      </c>
      <c r="C35" s="22"/>
      <c r="D35" s="23" t="s">
        <v>276</v>
      </c>
      <c r="E35" s="2">
        <v>33150000</v>
      </c>
      <c r="F35" s="2">
        <v>1958000</v>
      </c>
      <c r="G35" s="2">
        <v>363000</v>
      </c>
      <c r="H35" s="2">
        <v>1132000</v>
      </c>
      <c r="I35" s="2">
        <v>84000</v>
      </c>
      <c r="J35" s="2">
        <v>3537000</v>
      </c>
      <c r="K35" s="24">
        <v>10.670828418229856</v>
      </c>
      <c r="L35" s="25">
        <v>5159000</v>
      </c>
      <c r="M35" s="25">
        <v>776000</v>
      </c>
      <c r="N35" s="25">
        <v>0</v>
      </c>
      <c r="O35" s="25">
        <v>0</v>
      </c>
      <c r="P35" s="25">
        <v>5935000</v>
      </c>
      <c r="R35" s="23" t="s">
        <v>281</v>
      </c>
      <c r="S35" s="2">
        <v>33000000</v>
      </c>
      <c r="T35" s="2">
        <v>2767000</v>
      </c>
      <c r="U35" s="2">
        <v>471000</v>
      </c>
      <c r="V35" s="2">
        <v>1226000</v>
      </c>
      <c r="W35" s="2">
        <v>29000</v>
      </c>
      <c r="X35" s="2">
        <v>4493000</v>
      </c>
      <c r="Y35" s="26">
        <v>0.13615151515151516</v>
      </c>
      <c r="Z35" s="2">
        <v>5363000</v>
      </c>
      <c r="AA35" s="2">
        <v>1013000</v>
      </c>
      <c r="AB35" s="2">
        <v>0</v>
      </c>
      <c r="AC35" s="2">
        <v>0</v>
      </c>
      <c r="AD35" s="2">
        <v>6376000</v>
      </c>
      <c r="AF35" s="23" t="s">
        <v>282</v>
      </c>
      <c r="AG35" s="2">
        <v>26500000</v>
      </c>
      <c r="AH35" s="2">
        <v>2946000</v>
      </c>
      <c r="AI35" s="2">
        <v>540000</v>
      </c>
      <c r="AJ35" s="2">
        <v>1226000</v>
      </c>
      <c r="AK35" s="2">
        <v>32000</v>
      </c>
      <c r="AL35" s="2">
        <v>4744000</v>
      </c>
      <c r="AM35" s="26">
        <v>0.17901886792452831</v>
      </c>
      <c r="AN35" s="2">
        <v>5427000</v>
      </c>
      <c r="AO35" s="2">
        <v>1162000</v>
      </c>
      <c r="AP35" s="2">
        <v>0</v>
      </c>
      <c r="AQ35" s="2">
        <v>0</v>
      </c>
      <c r="AR35" s="2">
        <v>6589000</v>
      </c>
      <c r="AU35" s="63"/>
    </row>
    <row r="36" spans="1:47" ht="15.75" customHeight="1" x14ac:dyDescent="0.2">
      <c r="A36" s="21">
        <v>28</v>
      </c>
      <c r="B36" s="21" t="s">
        <v>380</v>
      </c>
      <c r="C36" s="22"/>
      <c r="D36" s="23" t="s">
        <v>276</v>
      </c>
      <c r="E36" s="2">
        <v>54939999.999999993</v>
      </c>
      <c r="F36" s="2">
        <v>85000</v>
      </c>
      <c r="G36" s="2">
        <v>15000</v>
      </c>
      <c r="H36" s="2">
        <v>892000</v>
      </c>
      <c r="I36" s="2">
        <v>0</v>
      </c>
      <c r="J36" s="2">
        <v>992000</v>
      </c>
      <c r="K36" s="24">
        <v>1.8058493212654323</v>
      </c>
      <c r="L36" s="25">
        <v>1946000</v>
      </c>
      <c r="M36" s="25">
        <v>345000</v>
      </c>
      <c r="N36" s="25">
        <v>0</v>
      </c>
      <c r="O36" s="25">
        <v>0</v>
      </c>
      <c r="P36" s="25">
        <v>2291000</v>
      </c>
      <c r="R36" s="23" t="s">
        <v>281</v>
      </c>
      <c r="S36" s="2">
        <v>54600000</v>
      </c>
      <c r="T36" s="2">
        <v>106000</v>
      </c>
      <c r="U36" s="2">
        <v>19000</v>
      </c>
      <c r="V36" s="2">
        <v>966000</v>
      </c>
      <c r="W36" s="2">
        <v>0</v>
      </c>
      <c r="X36" s="2">
        <v>1091000</v>
      </c>
      <c r="Y36" s="26">
        <v>1.9981684981684983E-2</v>
      </c>
      <c r="Z36" s="2">
        <v>2024000</v>
      </c>
      <c r="AA36" s="2">
        <v>432000</v>
      </c>
      <c r="AB36" s="2">
        <v>0</v>
      </c>
      <c r="AC36" s="2">
        <v>0</v>
      </c>
      <c r="AD36" s="2">
        <v>2456000</v>
      </c>
      <c r="AF36" s="23" t="s">
        <v>282</v>
      </c>
      <c r="AG36" s="2">
        <v>41900000</v>
      </c>
      <c r="AH36" s="2">
        <v>119000</v>
      </c>
      <c r="AI36" s="2">
        <v>23000</v>
      </c>
      <c r="AJ36" s="2">
        <v>966000</v>
      </c>
      <c r="AK36" s="2">
        <v>0</v>
      </c>
      <c r="AL36" s="2">
        <v>1108000</v>
      </c>
      <c r="AM36" s="26">
        <v>2.6443914081145586E-2</v>
      </c>
      <c r="AN36" s="2">
        <v>2087000</v>
      </c>
      <c r="AO36" s="2">
        <v>524000</v>
      </c>
      <c r="AP36" s="2">
        <v>0</v>
      </c>
      <c r="AQ36" s="2">
        <v>0</v>
      </c>
      <c r="AR36" s="2">
        <v>2611000</v>
      </c>
      <c r="AU36" s="63"/>
    </row>
    <row r="37" spans="1:47" ht="15.75" customHeight="1" x14ac:dyDescent="0.2">
      <c r="A37" s="21">
        <v>29</v>
      </c>
      <c r="B37" s="21" t="s">
        <v>14</v>
      </c>
      <c r="C37" s="22"/>
      <c r="D37" s="23" t="s">
        <v>276</v>
      </c>
      <c r="E37" s="2">
        <v>98440000</v>
      </c>
      <c r="F37" s="2">
        <v>15853000</v>
      </c>
      <c r="G37" s="2">
        <v>225000</v>
      </c>
      <c r="H37" s="2">
        <v>21609000</v>
      </c>
      <c r="I37" s="2">
        <v>12000</v>
      </c>
      <c r="J37" s="2">
        <v>37699000</v>
      </c>
      <c r="K37" s="24">
        <v>38.29623441507573</v>
      </c>
      <c r="L37" s="25">
        <v>563000</v>
      </c>
      <c r="M37" s="25">
        <v>6000</v>
      </c>
      <c r="N37" s="25">
        <v>0</v>
      </c>
      <c r="O37" s="25">
        <v>0</v>
      </c>
      <c r="P37" s="25">
        <v>569000</v>
      </c>
      <c r="R37" s="23" t="s">
        <v>281</v>
      </c>
      <c r="S37" s="2">
        <v>101000000</v>
      </c>
      <c r="T37" s="2">
        <v>17925000</v>
      </c>
      <c r="U37" s="2">
        <v>231000</v>
      </c>
      <c r="V37" s="2">
        <v>23406000</v>
      </c>
      <c r="W37" s="2">
        <v>0</v>
      </c>
      <c r="X37" s="2">
        <v>41562000</v>
      </c>
      <c r="Y37" s="26">
        <v>0.41150495049504948</v>
      </c>
      <c r="Z37" s="2">
        <v>563000</v>
      </c>
      <c r="AA37" s="2">
        <v>8000</v>
      </c>
      <c r="AB37" s="2">
        <v>0</v>
      </c>
      <c r="AC37" s="2">
        <v>0</v>
      </c>
      <c r="AD37" s="2">
        <v>571000</v>
      </c>
      <c r="AF37" s="23" t="s">
        <v>282</v>
      </c>
      <c r="AG37" s="2">
        <v>77400000</v>
      </c>
      <c r="AH37" s="2">
        <v>18706000</v>
      </c>
      <c r="AI37" s="2">
        <v>273000</v>
      </c>
      <c r="AJ37" s="2">
        <v>23406000</v>
      </c>
      <c r="AK37" s="2">
        <v>0</v>
      </c>
      <c r="AL37" s="2">
        <v>42385000</v>
      </c>
      <c r="AM37" s="26">
        <v>0.54760981912144702</v>
      </c>
      <c r="AN37" s="2">
        <v>563000</v>
      </c>
      <c r="AO37" s="2">
        <v>10000</v>
      </c>
      <c r="AP37" s="2">
        <v>0</v>
      </c>
      <c r="AQ37" s="2">
        <v>0</v>
      </c>
      <c r="AR37" s="2">
        <v>573000</v>
      </c>
      <c r="AU37" s="63"/>
    </row>
    <row r="38" spans="1:47" ht="15.75" customHeight="1" x14ac:dyDescent="0.2">
      <c r="A38" s="21">
        <v>30</v>
      </c>
      <c r="B38" s="21" t="s">
        <v>381</v>
      </c>
      <c r="C38" s="22"/>
      <c r="D38" s="23" t="s">
        <v>276</v>
      </c>
      <c r="E38" s="2">
        <v>34140000</v>
      </c>
      <c r="F38" s="2">
        <v>4026000</v>
      </c>
      <c r="G38" s="2">
        <v>1381000</v>
      </c>
      <c r="H38" s="2">
        <v>146000</v>
      </c>
      <c r="I38" s="2">
        <v>59000</v>
      </c>
      <c r="J38" s="2">
        <v>5612000</v>
      </c>
      <c r="K38" s="24">
        <v>16.437145535959854</v>
      </c>
      <c r="L38" s="25">
        <v>1170000</v>
      </c>
      <c r="M38" s="25">
        <v>393000</v>
      </c>
      <c r="N38" s="25">
        <v>0</v>
      </c>
      <c r="O38" s="25">
        <v>0</v>
      </c>
      <c r="P38" s="25">
        <v>1563000</v>
      </c>
      <c r="R38" s="23" t="s">
        <v>281</v>
      </c>
      <c r="S38" s="2">
        <v>33500000</v>
      </c>
      <c r="T38" s="2">
        <v>4344000</v>
      </c>
      <c r="U38" s="2">
        <v>1620000</v>
      </c>
      <c r="V38" s="2">
        <v>158000</v>
      </c>
      <c r="W38" s="2">
        <v>31000</v>
      </c>
      <c r="X38" s="2">
        <v>6153000</v>
      </c>
      <c r="Y38" s="26">
        <v>0.18367164179104478</v>
      </c>
      <c r="Z38" s="2">
        <v>1167000</v>
      </c>
      <c r="AA38" s="2">
        <v>459000</v>
      </c>
      <c r="AB38" s="2">
        <v>0</v>
      </c>
      <c r="AC38" s="2">
        <v>0</v>
      </c>
      <c r="AD38" s="2">
        <v>1626000</v>
      </c>
      <c r="AF38" s="23" t="s">
        <v>282</v>
      </c>
      <c r="AG38" s="2">
        <v>28500000</v>
      </c>
      <c r="AH38" s="2">
        <v>4541000</v>
      </c>
      <c r="AI38" s="2">
        <v>2098000</v>
      </c>
      <c r="AJ38" s="2">
        <v>158000</v>
      </c>
      <c r="AK38" s="2">
        <v>34000</v>
      </c>
      <c r="AL38" s="2">
        <v>6831000</v>
      </c>
      <c r="AM38" s="26">
        <v>0.23968421052631578</v>
      </c>
      <c r="AN38" s="2">
        <v>1169000</v>
      </c>
      <c r="AO38" s="2">
        <v>572000</v>
      </c>
      <c r="AP38" s="2">
        <v>0</v>
      </c>
      <c r="AQ38" s="2">
        <v>0</v>
      </c>
      <c r="AR38" s="2">
        <v>1741000</v>
      </c>
      <c r="AU38" s="63"/>
    </row>
    <row r="39" spans="1:47" ht="15.75" customHeight="1" x14ac:dyDescent="0.2">
      <c r="A39" s="21">
        <v>31</v>
      </c>
      <c r="B39" s="21" t="s">
        <v>382</v>
      </c>
      <c r="C39" s="22"/>
      <c r="D39" s="23" t="s">
        <v>276</v>
      </c>
      <c r="E39" s="2">
        <v>9560000</v>
      </c>
      <c r="F39" s="2">
        <v>2609000</v>
      </c>
      <c r="G39" s="2">
        <v>351000</v>
      </c>
      <c r="H39" s="2">
        <v>14000</v>
      </c>
      <c r="I39" s="2">
        <v>115000</v>
      </c>
      <c r="J39" s="2">
        <v>3089000</v>
      </c>
      <c r="K39" s="24">
        <v>32.316236373655165</v>
      </c>
      <c r="L39" s="25">
        <v>663000</v>
      </c>
      <c r="M39" s="25">
        <v>89000</v>
      </c>
      <c r="N39" s="25">
        <v>0</v>
      </c>
      <c r="O39" s="25">
        <v>0</v>
      </c>
      <c r="P39" s="25">
        <v>753000</v>
      </c>
      <c r="R39" s="23" t="s">
        <v>281</v>
      </c>
      <c r="S39" s="2">
        <v>9600000</v>
      </c>
      <c r="T39" s="2">
        <v>2649000</v>
      </c>
      <c r="U39" s="2">
        <v>396000</v>
      </c>
      <c r="V39" s="2">
        <v>15000</v>
      </c>
      <c r="W39" s="2">
        <v>154000</v>
      </c>
      <c r="X39" s="2">
        <v>3214000</v>
      </c>
      <c r="Y39" s="26">
        <v>0.33479166666666665</v>
      </c>
      <c r="Z39" s="2">
        <v>663000</v>
      </c>
      <c r="AA39" s="2">
        <v>101000</v>
      </c>
      <c r="AB39" s="2">
        <v>0</v>
      </c>
      <c r="AC39" s="2">
        <v>0</v>
      </c>
      <c r="AD39" s="2">
        <v>764000</v>
      </c>
      <c r="AF39" s="23" t="s">
        <v>282</v>
      </c>
      <c r="AG39" s="2">
        <v>7400000</v>
      </c>
      <c r="AH39" s="2">
        <v>2715000</v>
      </c>
      <c r="AI39" s="2">
        <v>496000</v>
      </c>
      <c r="AJ39" s="2">
        <v>15000</v>
      </c>
      <c r="AK39" s="2">
        <v>170000</v>
      </c>
      <c r="AL39" s="2">
        <v>3396000</v>
      </c>
      <c r="AM39" s="26">
        <v>0.45891891891891889</v>
      </c>
      <c r="AN39" s="2">
        <v>665000</v>
      </c>
      <c r="AO39" s="2">
        <v>126000</v>
      </c>
      <c r="AP39" s="2">
        <v>0</v>
      </c>
      <c r="AQ39" s="2">
        <v>0</v>
      </c>
      <c r="AR39" s="2">
        <v>791000</v>
      </c>
      <c r="AU39" s="63"/>
    </row>
    <row r="40" spans="1:47" ht="15.75" customHeight="1" x14ac:dyDescent="0.2">
      <c r="A40" s="21">
        <v>32</v>
      </c>
      <c r="B40" s="21" t="s">
        <v>137</v>
      </c>
      <c r="C40" s="22"/>
      <c r="D40" s="23" t="s">
        <v>276</v>
      </c>
      <c r="E40" s="2">
        <v>9560000</v>
      </c>
      <c r="F40" s="2">
        <v>1670000</v>
      </c>
      <c r="G40" s="2">
        <v>547000</v>
      </c>
      <c r="H40" s="2">
        <v>28000</v>
      </c>
      <c r="I40" s="2">
        <v>57000</v>
      </c>
      <c r="J40" s="2">
        <v>2301000</v>
      </c>
      <c r="K40" s="24">
        <v>24.069948668980004</v>
      </c>
      <c r="L40" s="25">
        <v>958000</v>
      </c>
      <c r="M40" s="25">
        <v>372000</v>
      </c>
      <c r="N40" s="25">
        <v>0</v>
      </c>
      <c r="O40" s="25">
        <v>0</v>
      </c>
      <c r="P40" s="25">
        <v>1330000</v>
      </c>
      <c r="R40" s="23" t="s">
        <v>281</v>
      </c>
      <c r="S40" s="2">
        <v>10900000</v>
      </c>
      <c r="T40" s="2">
        <v>1514000</v>
      </c>
      <c r="U40" s="2">
        <v>585000</v>
      </c>
      <c r="V40" s="2">
        <v>30000</v>
      </c>
      <c r="W40" s="2">
        <v>0</v>
      </c>
      <c r="X40" s="2">
        <v>2129000</v>
      </c>
      <c r="Y40" s="26">
        <v>0.19532110091743118</v>
      </c>
      <c r="Z40" s="2">
        <v>958000</v>
      </c>
      <c r="AA40" s="2">
        <v>609000</v>
      </c>
      <c r="AB40" s="2">
        <v>0</v>
      </c>
      <c r="AC40" s="2">
        <v>0</v>
      </c>
      <c r="AD40" s="2">
        <v>1567000</v>
      </c>
      <c r="AF40" s="23" t="s">
        <v>282</v>
      </c>
      <c r="AG40" s="2">
        <v>8200000</v>
      </c>
      <c r="AH40" s="2">
        <v>1556000</v>
      </c>
      <c r="AI40" s="2">
        <v>776000</v>
      </c>
      <c r="AJ40" s="2">
        <v>30000</v>
      </c>
      <c r="AK40" s="2">
        <v>0</v>
      </c>
      <c r="AL40" s="2">
        <v>2362000</v>
      </c>
      <c r="AM40" s="26">
        <v>0.28804878048780486</v>
      </c>
      <c r="AN40" s="2">
        <v>958000</v>
      </c>
      <c r="AO40" s="2">
        <v>735000</v>
      </c>
      <c r="AP40" s="2">
        <v>0</v>
      </c>
      <c r="AQ40" s="2">
        <v>0</v>
      </c>
      <c r="AR40" s="2">
        <v>1693000</v>
      </c>
      <c r="AU40" s="63"/>
    </row>
    <row r="41" spans="1:47" ht="15.75" customHeight="1" x14ac:dyDescent="0.2">
      <c r="A41" s="21">
        <v>33</v>
      </c>
      <c r="B41" s="21" t="s">
        <v>63</v>
      </c>
      <c r="C41" s="22"/>
      <c r="D41" s="23" t="s">
        <v>276</v>
      </c>
      <c r="E41" s="2">
        <v>38480000</v>
      </c>
      <c r="F41" s="2">
        <v>16986000</v>
      </c>
      <c r="G41" s="2">
        <v>296000</v>
      </c>
      <c r="H41" s="2">
        <v>1877000</v>
      </c>
      <c r="I41" s="2">
        <v>37000</v>
      </c>
      <c r="J41" s="2">
        <v>19197000</v>
      </c>
      <c r="K41" s="24">
        <v>49.887443052247818</v>
      </c>
      <c r="L41" s="25">
        <v>0</v>
      </c>
      <c r="M41" s="25">
        <v>0</v>
      </c>
      <c r="N41" s="25">
        <v>0</v>
      </c>
      <c r="O41" s="25">
        <v>0</v>
      </c>
      <c r="P41" s="25">
        <v>0</v>
      </c>
      <c r="R41" s="23" t="s">
        <v>281</v>
      </c>
      <c r="S41" s="2">
        <v>38700000</v>
      </c>
      <c r="T41" s="2">
        <v>19407000</v>
      </c>
      <c r="U41" s="2">
        <v>472000</v>
      </c>
      <c r="V41" s="2">
        <v>2033000</v>
      </c>
      <c r="W41" s="2">
        <v>39000</v>
      </c>
      <c r="X41" s="2">
        <v>21951000</v>
      </c>
      <c r="Y41" s="26">
        <v>0.56720930232558142</v>
      </c>
      <c r="Z41" s="2">
        <v>0</v>
      </c>
      <c r="AA41" s="2">
        <v>0</v>
      </c>
      <c r="AB41" s="2">
        <v>0</v>
      </c>
      <c r="AC41" s="2">
        <v>0</v>
      </c>
      <c r="AD41" s="2">
        <v>0</v>
      </c>
      <c r="AF41" s="23" t="s">
        <v>282</v>
      </c>
      <c r="AG41" s="2">
        <v>34300000</v>
      </c>
      <c r="AH41" s="2">
        <v>19965000</v>
      </c>
      <c r="AI41" s="2">
        <v>1014000</v>
      </c>
      <c r="AJ41" s="2">
        <v>2033000</v>
      </c>
      <c r="AK41" s="2">
        <v>57000</v>
      </c>
      <c r="AL41" s="2">
        <v>23069000</v>
      </c>
      <c r="AM41" s="26">
        <v>0.67256559766763846</v>
      </c>
      <c r="AN41" s="2">
        <v>0</v>
      </c>
      <c r="AO41" s="2">
        <v>0</v>
      </c>
      <c r="AP41" s="2">
        <v>0</v>
      </c>
      <c r="AQ41" s="2">
        <v>0</v>
      </c>
      <c r="AR41" s="2">
        <v>0</v>
      </c>
      <c r="AU41" s="63"/>
    </row>
    <row r="42" spans="1:47" ht="15.75" customHeight="1" x14ac:dyDescent="0.2">
      <c r="A42" s="21">
        <v>34</v>
      </c>
      <c r="B42" s="21" t="s">
        <v>93</v>
      </c>
      <c r="C42" s="22"/>
      <c r="D42" s="23" t="s">
        <v>276</v>
      </c>
      <c r="E42" s="2">
        <v>29640000.000000004</v>
      </c>
      <c r="F42" s="2">
        <v>4913000</v>
      </c>
      <c r="G42" s="2">
        <v>1765000</v>
      </c>
      <c r="H42" s="2">
        <v>141000</v>
      </c>
      <c r="I42" s="2">
        <v>0</v>
      </c>
      <c r="J42" s="2">
        <v>6818000</v>
      </c>
      <c r="K42" s="24">
        <v>23.00426363486357</v>
      </c>
      <c r="L42" s="25">
        <v>1398000</v>
      </c>
      <c r="M42" s="25">
        <v>468000</v>
      </c>
      <c r="N42" s="25">
        <v>0</v>
      </c>
      <c r="O42" s="25">
        <v>0</v>
      </c>
      <c r="P42" s="25">
        <v>1866000</v>
      </c>
      <c r="R42" s="23" t="s">
        <v>281</v>
      </c>
      <c r="S42" s="2">
        <v>29200000</v>
      </c>
      <c r="T42" s="2">
        <v>5577000</v>
      </c>
      <c r="U42" s="2">
        <v>1889000</v>
      </c>
      <c r="V42" s="2">
        <v>153000</v>
      </c>
      <c r="W42" s="2">
        <v>0</v>
      </c>
      <c r="X42" s="2">
        <v>7619000</v>
      </c>
      <c r="Y42" s="26">
        <v>0.2609246575342466</v>
      </c>
      <c r="Z42" s="2">
        <v>1398000</v>
      </c>
      <c r="AA42" s="2">
        <v>434000</v>
      </c>
      <c r="AB42" s="2">
        <v>0</v>
      </c>
      <c r="AC42" s="2">
        <v>0</v>
      </c>
      <c r="AD42" s="2">
        <v>1832000</v>
      </c>
      <c r="AF42" s="23" t="s">
        <v>282</v>
      </c>
      <c r="AG42" s="2">
        <v>22700000</v>
      </c>
      <c r="AH42" s="2">
        <v>5822000</v>
      </c>
      <c r="AI42" s="2">
        <v>2659000</v>
      </c>
      <c r="AJ42" s="2">
        <v>153000</v>
      </c>
      <c r="AK42" s="2">
        <v>0</v>
      </c>
      <c r="AL42" s="2">
        <v>8634000</v>
      </c>
      <c r="AM42" s="26">
        <v>0.380352422907489</v>
      </c>
      <c r="AN42" s="2">
        <v>1398000</v>
      </c>
      <c r="AO42" s="2">
        <v>650000</v>
      </c>
      <c r="AP42" s="2">
        <v>0</v>
      </c>
      <c r="AQ42" s="2">
        <v>0</v>
      </c>
      <c r="AR42" s="2">
        <v>2048000</v>
      </c>
      <c r="AU42" s="63"/>
    </row>
    <row r="43" spans="1:47" ht="15.75" customHeight="1" x14ac:dyDescent="0.2">
      <c r="A43" s="21">
        <v>35</v>
      </c>
      <c r="B43" s="21" t="s">
        <v>383</v>
      </c>
      <c r="C43" s="22"/>
      <c r="D43" s="23" t="s">
        <v>276</v>
      </c>
      <c r="E43" s="2">
        <v>30140000</v>
      </c>
      <c r="F43" s="2">
        <v>2613000</v>
      </c>
      <c r="G43" s="2">
        <v>304000</v>
      </c>
      <c r="H43" s="2">
        <v>540000</v>
      </c>
      <c r="I43" s="2">
        <v>171000</v>
      </c>
      <c r="J43" s="2">
        <v>3629000</v>
      </c>
      <c r="K43" s="24">
        <v>12.039984207393735</v>
      </c>
      <c r="L43" s="25">
        <v>2268000</v>
      </c>
      <c r="M43" s="25">
        <v>304000</v>
      </c>
      <c r="N43" s="25">
        <v>0</v>
      </c>
      <c r="O43" s="25">
        <v>32000</v>
      </c>
      <c r="P43" s="25">
        <v>2603000</v>
      </c>
      <c r="R43" s="23" t="s">
        <v>281</v>
      </c>
      <c r="S43" s="2">
        <v>30400000</v>
      </c>
      <c r="T43" s="2">
        <v>2895000</v>
      </c>
      <c r="U43" s="2">
        <v>362000</v>
      </c>
      <c r="V43" s="2">
        <v>585000</v>
      </c>
      <c r="W43" s="2">
        <v>243000</v>
      </c>
      <c r="X43" s="2">
        <v>4085000</v>
      </c>
      <c r="Y43" s="26">
        <v>0.13437499999999999</v>
      </c>
      <c r="Z43" s="2">
        <v>2376000</v>
      </c>
      <c r="AA43" s="2">
        <v>373000</v>
      </c>
      <c r="AB43" s="2">
        <v>0</v>
      </c>
      <c r="AC43" s="2">
        <v>49000</v>
      </c>
      <c r="AD43" s="2">
        <v>2798000</v>
      </c>
      <c r="AF43" s="23" t="s">
        <v>282</v>
      </c>
      <c r="AG43" s="2">
        <v>23300000</v>
      </c>
      <c r="AH43" s="2">
        <v>3058000</v>
      </c>
      <c r="AI43" s="2">
        <v>452000</v>
      </c>
      <c r="AJ43" s="2">
        <v>585000</v>
      </c>
      <c r="AK43" s="2">
        <v>268000</v>
      </c>
      <c r="AL43" s="2">
        <v>4363000</v>
      </c>
      <c r="AM43" s="26">
        <v>0.18725321888412017</v>
      </c>
      <c r="AN43" s="2">
        <v>2418000</v>
      </c>
      <c r="AO43" s="2">
        <v>453000</v>
      </c>
      <c r="AP43" s="2">
        <v>0</v>
      </c>
      <c r="AQ43" s="2">
        <v>54000</v>
      </c>
      <c r="AR43" s="2">
        <v>2925000</v>
      </c>
      <c r="AU43" s="63"/>
    </row>
    <row r="44" spans="1:47" ht="15.75" customHeight="1" x14ac:dyDescent="0.2">
      <c r="A44" s="21">
        <v>36</v>
      </c>
      <c r="B44" s="21" t="s">
        <v>383</v>
      </c>
      <c r="C44" s="22"/>
      <c r="D44" s="23" t="s">
        <v>276</v>
      </c>
      <c r="E44" s="2">
        <v>13740000</v>
      </c>
      <c r="F44" s="2">
        <v>1089000</v>
      </c>
      <c r="G44" s="2">
        <v>459000</v>
      </c>
      <c r="H44" s="2">
        <v>306000</v>
      </c>
      <c r="I44" s="2">
        <v>0</v>
      </c>
      <c r="J44" s="2">
        <v>1854000</v>
      </c>
      <c r="K44" s="24">
        <v>13.495260234824109</v>
      </c>
      <c r="L44" s="25">
        <v>759000</v>
      </c>
      <c r="M44" s="25">
        <v>467000</v>
      </c>
      <c r="N44" s="25">
        <v>0</v>
      </c>
      <c r="O44" s="25">
        <v>0</v>
      </c>
      <c r="P44" s="25">
        <v>1226000</v>
      </c>
      <c r="R44" s="23" t="s">
        <v>281</v>
      </c>
      <c r="S44" s="2">
        <v>13300000</v>
      </c>
      <c r="T44" s="2">
        <v>1103000</v>
      </c>
      <c r="U44" s="2">
        <v>520000</v>
      </c>
      <c r="V44" s="2">
        <v>331000</v>
      </c>
      <c r="W44" s="2">
        <v>0</v>
      </c>
      <c r="X44" s="2">
        <v>1954000</v>
      </c>
      <c r="Y44" s="26">
        <v>0.1469172932330827</v>
      </c>
      <c r="Z44" s="2">
        <v>735000</v>
      </c>
      <c r="AA44" s="2">
        <v>523000</v>
      </c>
      <c r="AB44" s="2">
        <v>0</v>
      </c>
      <c r="AC44" s="2">
        <v>0</v>
      </c>
      <c r="AD44" s="2">
        <v>1258000</v>
      </c>
      <c r="AF44" s="23" t="s">
        <v>282</v>
      </c>
      <c r="AG44" s="2">
        <v>10600000</v>
      </c>
      <c r="AH44" s="2">
        <v>1155000</v>
      </c>
      <c r="AI44" s="2">
        <v>665000</v>
      </c>
      <c r="AJ44" s="2">
        <v>331000</v>
      </c>
      <c r="AK44" s="2">
        <v>0</v>
      </c>
      <c r="AL44" s="2">
        <v>2151000</v>
      </c>
      <c r="AM44" s="26">
        <v>0.20292452830188679</v>
      </c>
      <c r="AN44" s="2">
        <v>746000</v>
      </c>
      <c r="AO44" s="2">
        <v>658000</v>
      </c>
      <c r="AP44" s="2">
        <v>0</v>
      </c>
      <c r="AQ44" s="2">
        <v>0</v>
      </c>
      <c r="AR44" s="2">
        <v>1404000</v>
      </c>
      <c r="AU44" s="63"/>
    </row>
    <row r="45" spans="1:47" ht="15.75" customHeight="1" x14ac:dyDescent="0.2">
      <c r="A45" s="21">
        <v>37</v>
      </c>
      <c r="B45" s="21" t="s">
        <v>384</v>
      </c>
      <c r="C45" s="22"/>
      <c r="D45" s="23" t="s">
        <v>276</v>
      </c>
      <c r="E45" s="2">
        <v>145020000</v>
      </c>
      <c r="F45" s="2">
        <v>1074000</v>
      </c>
      <c r="G45" s="2">
        <v>189000</v>
      </c>
      <c r="H45" s="2">
        <v>3126000</v>
      </c>
      <c r="I45" s="2">
        <v>216000</v>
      </c>
      <c r="J45" s="2">
        <v>4606000</v>
      </c>
      <c r="K45" s="24">
        <v>3.1759873756158248</v>
      </c>
      <c r="L45" s="25">
        <v>4362000</v>
      </c>
      <c r="M45" s="25">
        <v>769000</v>
      </c>
      <c r="N45" s="25">
        <v>0</v>
      </c>
      <c r="O45" s="25">
        <v>63000</v>
      </c>
      <c r="P45" s="25">
        <v>5193000</v>
      </c>
      <c r="R45" s="23" t="s">
        <v>281</v>
      </c>
      <c r="S45" s="2">
        <v>145500000</v>
      </c>
      <c r="T45" s="2">
        <v>1085000</v>
      </c>
      <c r="U45" s="2">
        <v>226000</v>
      </c>
      <c r="V45" s="2">
        <v>3386000</v>
      </c>
      <c r="W45" s="2">
        <v>327000</v>
      </c>
      <c r="X45" s="2">
        <v>5024000</v>
      </c>
      <c r="Y45" s="26">
        <v>3.4529209621993129E-2</v>
      </c>
      <c r="Z45" s="2">
        <v>4261000</v>
      </c>
      <c r="AA45" s="2">
        <v>920000</v>
      </c>
      <c r="AB45" s="2">
        <v>0</v>
      </c>
      <c r="AC45" s="2">
        <v>96000</v>
      </c>
      <c r="AD45" s="2">
        <v>5277000</v>
      </c>
      <c r="AF45" s="23" t="s">
        <v>282</v>
      </c>
      <c r="AG45" s="2">
        <v>111800000</v>
      </c>
      <c r="AH45" s="2">
        <v>1184000</v>
      </c>
      <c r="AI45" s="2">
        <v>277000</v>
      </c>
      <c r="AJ45" s="2">
        <v>3386000</v>
      </c>
      <c r="AK45" s="2">
        <v>356000</v>
      </c>
      <c r="AL45" s="2">
        <v>5203000</v>
      </c>
      <c r="AM45" s="26">
        <v>4.6538461538461535E-2</v>
      </c>
      <c r="AN45" s="2">
        <v>4315000</v>
      </c>
      <c r="AO45" s="2">
        <v>1124000</v>
      </c>
      <c r="AP45" s="2">
        <v>0</v>
      </c>
      <c r="AQ45" s="2">
        <v>105000</v>
      </c>
      <c r="AR45" s="2">
        <v>5544000</v>
      </c>
      <c r="AU45" s="63"/>
    </row>
    <row r="46" spans="1:47" ht="15.75" customHeight="1" x14ac:dyDescent="0.2">
      <c r="A46" s="21">
        <v>38</v>
      </c>
      <c r="B46" s="21" t="s">
        <v>384</v>
      </c>
      <c r="C46" s="22"/>
      <c r="D46" s="23" t="s">
        <v>276</v>
      </c>
      <c r="E46" s="2">
        <v>105060000</v>
      </c>
      <c r="F46" s="2">
        <v>1388000</v>
      </c>
      <c r="G46" s="2">
        <v>189000</v>
      </c>
      <c r="H46" s="2">
        <v>607000</v>
      </c>
      <c r="I46" s="2">
        <v>65000</v>
      </c>
      <c r="J46" s="2">
        <v>2250000</v>
      </c>
      <c r="K46" s="24">
        <v>2.1414606834317538</v>
      </c>
      <c r="L46" s="25">
        <v>1627000</v>
      </c>
      <c r="M46" s="25">
        <v>222000</v>
      </c>
      <c r="N46" s="25">
        <v>0</v>
      </c>
      <c r="O46" s="25">
        <v>0</v>
      </c>
      <c r="P46" s="25">
        <v>1849000</v>
      </c>
      <c r="R46" s="23" t="s">
        <v>281</v>
      </c>
      <c r="S46" s="2">
        <v>102700000</v>
      </c>
      <c r="T46" s="2">
        <v>1312000</v>
      </c>
      <c r="U46" s="2">
        <v>228000</v>
      </c>
      <c r="V46" s="2">
        <v>657000</v>
      </c>
      <c r="W46" s="2">
        <v>100000</v>
      </c>
      <c r="X46" s="2">
        <v>2297000</v>
      </c>
      <c r="Y46" s="26">
        <v>2.2366114897760466E-2</v>
      </c>
      <c r="Z46" s="2">
        <v>1642000</v>
      </c>
      <c r="AA46" s="2">
        <v>268000</v>
      </c>
      <c r="AB46" s="2">
        <v>0</v>
      </c>
      <c r="AC46" s="2">
        <v>0</v>
      </c>
      <c r="AD46" s="2">
        <v>1910000</v>
      </c>
      <c r="AF46" s="23" t="s">
        <v>282</v>
      </c>
      <c r="AG46" s="2">
        <v>81700000</v>
      </c>
      <c r="AH46" s="2">
        <v>1373000</v>
      </c>
      <c r="AI46" s="2">
        <v>280000</v>
      </c>
      <c r="AJ46" s="2">
        <v>657000</v>
      </c>
      <c r="AK46" s="2">
        <v>109000</v>
      </c>
      <c r="AL46" s="2">
        <v>2419000</v>
      </c>
      <c r="AM46" s="26">
        <v>2.9608323133414934E-2</v>
      </c>
      <c r="AN46" s="2">
        <v>1677000</v>
      </c>
      <c r="AO46" s="2">
        <v>328000</v>
      </c>
      <c r="AP46" s="2">
        <v>0</v>
      </c>
      <c r="AQ46" s="2">
        <v>0</v>
      </c>
      <c r="AR46" s="2">
        <v>2005000</v>
      </c>
      <c r="AU46" s="63"/>
    </row>
    <row r="47" spans="1:47" ht="15.75" customHeight="1" x14ac:dyDescent="0.2">
      <c r="A47" s="21">
        <v>39</v>
      </c>
      <c r="B47" s="21" t="s">
        <v>384</v>
      </c>
      <c r="C47" s="22"/>
      <c r="D47" s="23" t="s">
        <v>276</v>
      </c>
      <c r="E47" s="2">
        <v>105900000</v>
      </c>
      <c r="F47" s="2">
        <v>1539000</v>
      </c>
      <c r="G47" s="2">
        <v>61000</v>
      </c>
      <c r="H47" s="2">
        <v>1751000</v>
      </c>
      <c r="I47" s="2">
        <v>0</v>
      </c>
      <c r="J47" s="2">
        <v>3351000</v>
      </c>
      <c r="K47" s="24">
        <v>3.1643738361482647</v>
      </c>
      <c r="L47" s="25">
        <v>2688000</v>
      </c>
      <c r="M47" s="25">
        <v>107000</v>
      </c>
      <c r="N47" s="25">
        <v>0</v>
      </c>
      <c r="O47" s="25">
        <v>145000</v>
      </c>
      <c r="P47" s="25">
        <v>2940000</v>
      </c>
      <c r="R47" s="23" t="s">
        <v>281</v>
      </c>
      <c r="S47" s="2">
        <v>105600000</v>
      </c>
      <c r="T47" s="2">
        <v>1620000</v>
      </c>
      <c r="U47" s="2">
        <v>73000</v>
      </c>
      <c r="V47" s="2">
        <v>1897000</v>
      </c>
      <c r="W47" s="2">
        <v>34000</v>
      </c>
      <c r="X47" s="2">
        <v>3624000</v>
      </c>
      <c r="Y47" s="26">
        <v>3.4318181818181817E-2</v>
      </c>
      <c r="Z47" s="2">
        <v>2828000</v>
      </c>
      <c r="AA47" s="2">
        <v>127000</v>
      </c>
      <c r="AB47" s="2">
        <v>0</v>
      </c>
      <c r="AC47" s="2">
        <v>222000</v>
      </c>
      <c r="AD47" s="2">
        <v>3177000</v>
      </c>
      <c r="AF47" s="23" t="s">
        <v>282</v>
      </c>
      <c r="AG47" s="2">
        <v>81200000</v>
      </c>
      <c r="AH47" s="2">
        <v>1751000</v>
      </c>
      <c r="AI47" s="2">
        <v>90000</v>
      </c>
      <c r="AJ47" s="2">
        <v>1897000</v>
      </c>
      <c r="AK47" s="2">
        <v>37000</v>
      </c>
      <c r="AL47" s="2">
        <v>3775000</v>
      </c>
      <c r="AM47" s="26">
        <v>4.649014778325123E-2</v>
      </c>
      <c r="AN47" s="2">
        <v>2854000</v>
      </c>
      <c r="AO47" s="2">
        <v>158000</v>
      </c>
      <c r="AP47" s="2">
        <v>0</v>
      </c>
      <c r="AQ47" s="2">
        <v>242000</v>
      </c>
      <c r="AR47" s="2">
        <v>3254000</v>
      </c>
      <c r="AU47" s="63"/>
    </row>
    <row r="48" spans="1:47" ht="15.75" customHeight="1" x14ac:dyDescent="0.2">
      <c r="A48" s="21">
        <v>40</v>
      </c>
      <c r="B48" s="21" t="s">
        <v>411</v>
      </c>
      <c r="C48" s="22"/>
      <c r="D48" s="23" t="s">
        <v>276</v>
      </c>
      <c r="E48" s="2">
        <v>28670000</v>
      </c>
      <c r="F48" s="2">
        <v>4104000</v>
      </c>
      <c r="G48" s="2">
        <v>870000</v>
      </c>
      <c r="H48" s="2">
        <v>1083000</v>
      </c>
      <c r="I48" s="2">
        <v>54000</v>
      </c>
      <c r="J48" s="2">
        <v>6111000</v>
      </c>
      <c r="K48" s="24">
        <v>21.313632541709183</v>
      </c>
      <c r="L48" s="25">
        <v>1078000</v>
      </c>
      <c r="M48" s="25">
        <v>316000</v>
      </c>
      <c r="N48" s="25">
        <v>0</v>
      </c>
      <c r="O48" s="25">
        <v>0</v>
      </c>
      <c r="P48" s="25">
        <v>1394000</v>
      </c>
      <c r="R48" s="23" t="s">
        <v>281</v>
      </c>
      <c r="S48" s="2">
        <v>28400000</v>
      </c>
      <c r="T48" s="2">
        <v>4524000</v>
      </c>
      <c r="U48" s="2">
        <v>713000</v>
      </c>
      <c r="V48" s="2">
        <v>1173000</v>
      </c>
      <c r="W48" s="2">
        <v>0</v>
      </c>
      <c r="X48" s="2">
        <v>6410000</v>
      </c>
      <c r="Y48" s="26">
        <v>0.22570422535211268</v>
      </c>
      <c r="Z48" s="2">
        <v>1018000</v>
      </c>
      <c r="AA48" s="2">
        <v>321000</v>
      </c>
      <c r="AB48" s="2">
        <v>0</v>
      </c>
      <c r="AC48" s="2">
        <v>0</v>
      </c>
      <c r="AD48" s="2">
        <v>1339000</v>
      </c>
      <c r="AF48" s="23" t="s">
        <v>282</v>
      </c>
      <c r="AG48" s="2">
        <v>26000000</v>
      </c>
      <c r="AH48" s="2">
        <v>4656000</v>
      </c>
      <c r="AI48" s="2">
        <v>985000</v>
      </c>
      <c r="AJ48" s="2">
        <v>1173000</v>
      </c>
      <c r="AK48" s="2">
        <v>0</v>
      </c>
      <c r="AL48" s="2">
        <v>6814000</v>
      </c>
      <c r="AM48" s="26">
        <v>0.2620769230769231</v>
      </c>
      <c r="AN48" s="2">
        <v>1026000</v>
      </c>
      <c r="AO48" s="2">
        <v>446000</v>
      </c>
      <c r="AP48" s="2">
        <v>0</v>
      </c>
      <c r="AQ48" s="2">
        <v>0</v>
      </c>
      <c r="AR48" s="2">
        <v>1472000</v>
      </c>
      <c r="AU48" s="63"/>
    </row>
    <row r="49" spans="1:47" ht="15.75" customHeight="1" x14ac:dyDescent="0.2">
      <c r="A49" s="21">
        <v>44</v>
      </c>
      <c r="B49" s="21" t="s">
        <v>79</v>
      </c>
      <c r="C49" s="22"/>
      <c r="D49" s="23" t="s">
        <v>276</v>
      </c>
      <c r="E49" s="2">
        <v>79160000</v>
      </c>
      <c r="F49" s="2">
        <v>8371000</v>
      </c>
      <c r="G49" s="2">
        <v>673000</v>
      </c>
      <c r="H49" s="2">
        <v>8177000</v>
      </c>
      <c r="I49" s="2">
        <v>17000</v>
      </c>
      <c r="J49" s="2">
        <v>17239000</v>
      </c>
      <c r="K49" s="24">
        <v>21.777254321087387</v>
      </c>
      <c r="L49" s="25">
        <v>1039000</v>
      </c>
      <c r="M49" s="25">
        <v>99000</v>
      </c>
      <c r="N49" s="25">
        <v>0</v>
      </c>
      <c r="O49" s="25">
        <v>0</v>
      </c>
      <c r="P49" s="25">
        <v>1138000</v>
      </c>
      <c r="R49" s="23" t="s">
        <v>281</v>
      </c>
      <c r="S49" s="2">
        <v>80000000</v>
      </c>
      <c r="T49" s="2">
        <v>9174000</v>
      </c>
      <c r="U49" s="2">
        <v>719000</v>
      </c>
      <c r="V49" s="2">
        <v>8857000</v>
      </c>
      <c r="W49" s="2">
        <v>0</v>
      </c>
      <c r="X49" s="2">
        <v>18750000</v>
      </c>
      <c r="Y49" s="26">
        <v>0.234375</v>
      </c>
      <c r="Z49" s="2">
        <v>1039000</v>
      </c>
      <c r="AA49" s="2">
        <v>113000</v>
      </c>
      <c r="AB49" s="2">
        <v>0</v>
      </c>
      <c r="AC49" s="2">
        <v>0</v>
      </c>
      <c r="AD49" s="2">
        <v>1152000</v>
      </c>
      <c r="AF49" s="23" t="s">
        <v>282</v>
      </c>
      <c r="AG49" s="2">
        <v>63200000</v>
      </c>
      <c r="AH49" s="2">
        <v>9548000</v>
      </c>
      <c r="AI49" s="2">
        <v>965000</v>
      </c>
      <c r="AJ49" s="2">
        <v>8857000</v>
      </c>
      <c r="AK49" s="2">
        <v>0</v>
      </c>
      <c r="AL49" s="2">
        <v>19370000</v>
      </c>
      <c r="AM49" s="26">
        <v>0.30648734177215192</v>
      </c>
      <c r="AN49" s="2">
        <v>1039000</v>
      </c>
      <c r="AO49" s="2">
        <v>142000</v>
      </c>
      <c r="AP49" s="2">
        <v>0</v>
      </c>
      <c r="AQ49" s="2">
        <v>0</v>
      </c>
      <c r="AR49" s="2">
        <v>1181000</v>
      </c>
      <c r="AU49" s="63"/>
    </row>
    <row r="50" spans="1:47" ht="15.75" customHeight="1" x14ac:dyDescent="0.2">
      <c r="A50" s="21">
        <v>45</v>
      </c>
      <c r="B50" s="21" t="s">
        <v>385</v>
      </c>
      <c r="C50" s="22"/>
      <c r="D50" s="23" t="s">
        <v>276</v>
      </c>
      <c r="E50" s="2">
        <v>55740000</v>
      </c>
      <c r="F50" s="2">
        <v>185000</v>
      </c>
      <c r="G50" s="2">
        <v>19000</v>
      </c>
      <c r="H50" s="2">
        <v>877000</v>
      </c>
      <c r="I50" s="2">
        <v>32000</v>
      </c>
      <c r="J50" s="2">
        <v>1113000</v>
      </c>
      <c r="K50" s="24">
        <v>1.9969696292667982</v>
      </c>
      <c r="L50" s="25">
        <v>1179000</v>
      </c>
      <c r="M50" s="25">
        <v>111000</v>
      </c>
      <c r="N50" s="25">
        <v>0</v>
      </c>
      <c r="O50" s="25">
        <v>0</v>
      </c>
      <c r="P50" s="25">
        <v>1290000</v>
      </c>
      <c r="R50" s="23" t="s">
        <v>281</v>
      </c>
      <c r="S50" s="2">
        <v>56000000</v>
      </c>
      <c r="T50" s="2">
        <v>125000</v>
      </c>
      <c r="U50" s="2">
        <v>23000</v>
      </c>
      <c r="V50" s="2">
        <v>950000</v>
      </c>
      <c r="W50" s="2">
        <v>0</v>
      </c>
      <c r="X50" s="2">
        <v>1098000</v>
      </c>
      <c r="Y50" s="26">
        <v>1.9607142857142858E-2</v>
      </c>
      <c r="Z50" s="2">
        <v>1116000</v>
      </c>
      <c r="AA50" s="2">
        <v>134000</v>
      </c>
      <c r="AB50" s="2">
        <v>0</v>
      </c>
      <c r="AC50" s="2">
        <v>0</v>
      </c>
      <c r="AD50" s="2">
        <v>1250000</v>
      </c>
      <c r="AF50" s="23" t="s">
        <v>282</v>
      </c>
      <c r="AG50" s="2">
        <v>41000000</v>
      </c>
      <c r="AH50" s="2">
        <v>155000</v>
      </c>
      <c r="AI50" s="2">
        <v>27000</v>
      </c>
      <c r="AJ50" s="2">
        <v>950000</v>
      </c>
      <c r="AK50" s="2">
        <v>0</v>
      </c>
      <c r="AL50" s="2">
        <v>1132000</v>
      </c>
      <c r="AM50" s="26">
        <v>2.7609756097560976E-2</v>
      </c>
      <c r="AN50" s="2">
        <v>1132000</v>
      </c>
      <c r="AO50" s="2">
        <v>164000</v>
      </c>
      <c r="AP50" s="2">
        <v>0</v>
      </c>
      <c r="AQ50" s="2">
        <v>0</v>
      </c>
      <c r="AR50" s="2">
        <v>1296000</v>
      </c>
      <c r="AU50" s="63"/>
    </row>
    <row r="51" spans="1:47" ht="15.75" customHeight="1" x14ac:dyDescent="0.2">
      <c r="A51" s="21">
        <v>46</v>
      </c>
      <c r="B51" s="21" t="s">
        <v>386</v>
      </c>
      <c r="C51" s="22"/>
      <c r="D51" s="23" t="s">
        <v>276</v>
      </c>
      <c r="E51" s="2">
        <v>74210000</v>
      </c>
      <c r="F51" s="2">
        <v>241000</v>
      </c>
      <c r="G51" s="2">
        <v>63000</v>
      </c>
      <c r="H51" s="2">
        <v>350000</v>
      </c>
      <c r="I51" s="2">
        <v>37000</v>
      </c>
      <c r="J51" s="2">
        <v>690000</v>
      </c>
      <c r="K51" s="24">
        <v>0.92954949972917456</v>
      </c>
      <c r="L51" s="25">
        <v>2023000</v>
      </c>
      <c r="M51" s="25">
        <v>253000</v>
      </c>
      <c r="N51" s="25">
        <v>0</v>
      </c>
      <c r="O51" s="25">
        <v>0</v>
      </c>
      <c r="P51" s="25">
        <v>2276000</v>
      </c>
      <c r="R51" s="23" t="s">
        <v>281</v>
      </c>
      <c r="S51" s="2">
        <v>74200000</v>
      </c>
      <c r="T51" s="2">
        <v>263000</v>
      </c>
      <c r="U51" s="2">
        <v>77000</v>
      </c>
      <c r="V51" s="2">
        <v>379000</v>
      </c>
      <c r="W51" s="2">
        <v>58000</v>
      </c>
      <c r="X51" s="2">
        <v>777000</v>
      </c>
      <c r="Y51" s="26">
        <v>1.0471698113207547E-2</v>
      </c>
      <c r="Z51" s="2">
        <v>2003000</v>
      </c>
      <c r="AA51" s="2">
        <v>310000</v>
      </c>
      <c r="AB51" s="2">
        <v>0</v>
      </c>
      <c r="AC51" s="2">
        <v>0</v>
      </c>
      <c r="AD51" s="2">
        <v>2313000</v>
      </c>
      <c r="AF51" s="23" t="s">
        <v>282</v>
      </c>
      <c r="AG51" s="2">
        <v>55400000</v>
      </c>
      <c r="AH51" s="2">
        <v>317000</v>
      </c>
      <c r="AI51" s="2">
        <v>92000</v>
      </c>
      <c r="AJ51" s="2">
        <v>379000</v>
      </c>
      <c r="AK51" s="2">
        <v>64000</v>
      </c>
      <c r="AL51" s="2">
        <v>852000</v>
      </c>
      <c r="AM51" s="26">
        <v>1.5379061371841155E-2</v>
      </c>
      <c r="AN51" s="2">
        <v>2050000</v>
      </c>
      <c r="AO51" s="2">
        <v>373000</v>
      </c>
      <c r="AP51" s="2">
        <v>0</v>
      </c>
      <c r="AQ51" s="2">
        <v>0</v>
      </c>
      <c r="AR51" s="2">
        <v>2423000</v>
      </c>
      <c r="AU51" s="63"/>
    </row>
    <row r="52" spans="1:47" ht="15.75" customHeight="1" x14ac:dyDescent="0.2">
      <c r="A52" s="21">
        <v>47</v>
      </c>
      <c r="B52" s="21" t="s">
        <v>380</v>
      </c>
      <c r="C52" s="22"/>
      <c r="D52" s="23" t="s">
        <v>276</v>
      </c>
      <c r="E52" s="2">
        <v>31700000</v>
      </c>
      <c r="F52" s="2">
        <v>176000</v>
      </c>
      <c r="G52" s="2">
        <v>8000</v>
      </c>
      <c r="H52" s="2">
        <v>473000</v>
      </c>
      <c r="I52" s="2">
        <v>0</v>
      </c>
      <c r="J52" s="2">
        <v>657000</v>
      </c>
      <c r="K52" s="24">
        <v>2.0733953898145527</v>
      </c>
      <c r="L52" s="25">
        <v>3523000</v>
      </c>
      <c r="M52" s="25">
        <v>160000</v>
      </c>
      <c r="N52" s="25">
        <v>0</v>
      </c>
      <c r="O52" s="25">
        <v>1000</v>
      </c>
      <c r="P52" s="25">
        <v>3684000</v>
      </c>
      <c r="R52" s="23" t="s">
        <v>281</v>
      </c>
      <c r="S52" s="2">
        <v>31900000</v>
      </c>
      <c r="T52" s="2">
        <v>208000</v>
      </c>
      <c r="U52" s="2">
        <v>10000</v>
      </c>
      <c r="V52" s="2">
        <v>512000</v>
      </c>
      <c r="W52" s="2">
        <v>2000</v>
      </c>
      <c r="X52" s="2">
        <v>732000</v>
      </c>
      <c r="Y52" s="26">
        <v>2.2946708463949844E-2</v>
      </c>
      <c r="Z52" s="2">
        <v>3608000</v>
      </c>
      <c r="AA52" s="2">
        <v>190000</v>
      </c>
      <c r="AB52" s="2">
        <v>0</v>
      </c>
      <c r="AC52" s="2">
        <v>0</v>
      </c>
      <c r="AD52" s="2">
        <v>3798000</v>
      </c>
      <c r="AF52" s="23" t="s">
        <v>282</v>
      </c>
      <c r="AG52" s="2">
        <v>23900000</v>
      </c>
      <c r="AH52" s="2">
        <v>219000</v>
      </c>
      <c r="AI52" s="2">
        <v>12000</v>
      </c>
      <c r="AJ52" s="2">
        <v>512000</v>
      </c>
      <c r="AK52" s="2">
        <v>2000</v>
      </c>
      <c r="AL52" s="2">
        <v>745000</v>
      </c>
      <c r="AM52" s="26">
        <v>3.117154811715481E-2</v>
      </c>
      <c r="AN52" s="2">
        <v>3679000</v>
      </c>
      <c r="AO52" s="2">
        <v>235000</v>
      </c>
      <c r="AP52" s="2">
        <v>0</v>
      </c>
      <c r="AQ52" s="2">
        <v>0</v>
      </c>
      <c r="AR52" s="2">
        <v>3914000</v>
      </c>
      <c r="AU52" s="63"/>
    </row>
    <row r="53" spans="1:47" ht="15.75" customHeight="1" x14ac:dyDescent="0.2">
      <c r="A53" s="21">
        <v>48</v>
      </c>
      <c r="B53" s="21" t="s">
        <v>387</v>
      </c>
      <c r="C53" s="22"/>
      <c r="D53" s="23" t="s">
        <v>276</v>
      </c>
      <c r="E53" s="2">
        <v>85670000</v>
      </c>
      <c r="F53" s="2">
        <v>1474000</v>
      </c>
      <c r="G53" s="2">
        <v>192000</v>
      </c>
      <c r="H53" s="2">
        <v>2761000</v>
      </c>
      <c r="I53" s="2">
        <v>184000</v>
      </c>
      <c r="J53" s="2">
        <v>4611000</v>
      </c>
      <c r="K53" s="24">
        <v>5.3819196425749034</v>
      </c>
      <c r="L53" s="25">
        <v>3882000</v>
      </c>
      <c r="M53" s="25">
        <v>451000</v>
      </c>
      <c r="N53" s="25">
        <v>0</v>
      </c>
      <c r="O53" s="25">
        <v>9000</v>
      </c>
      <c r="P53" s="25">
        <v>4342000</v>
      </c>
      <c r="R53" s="23" t="s">
        <v>281</v>
      </c>
      <c r="S53" s="2">
        <v>89100000</v>
      </c>
      <c r="T53" s="2">
        <v>1700000</v>
      </c>
      <c r="U53" s="2">
        <v>233000</v>
      </c>
      <c r="V53" s="2">
        <v>2991000</v>
      </c>
      <c r="W53" s="2">
        <v>268000</v>
      </c>
      <c r="X53" s="2">
        <v>5192000</v>
      </c>
      <c r="Y53" s="26">
        <v>5.8271604938271604E-2</v>
      </c>
      <c r="Z53" s="2">
        <v>4010000</v>
      </c>
      <c r="AA53" s="2">
        <v>546000</v>
      </c>
      <c r="AB53" s="2">
        <v>0</v>
      </c>
      <c r="AC53" s="2">
        <v>12000</v>
      </c>
      <c r="AD53" s="2">
        <v>4568000</v>
      </c>
      <c r="AF53" s="23" t="s">
        <v>282</v>
      </c>
      <c r="AG53" s="2">
        <v>62500000</v>
      </c>
      <c r="AH53" s="2">
        <v>1817000</v>
      </c>
      <c r="AI53" s="2">
        <v>287000</v>
      </c>
      <c r="AJ53" s="2">
        <v>2991000</v>
      </c>
      <c r="AK53" s="2">
        <v>295000</v>
      </c>
      <c r="AL53" s="2">
        <v>5390000</v>
      </c>
      <c r="AM53" s="26">
        <v>8.6239999999999997E-2</v>
      </c>
      <c r="AN53" s="2">
        <v>4114000</v>
      </c>
      <c r="AO53" s="2">
        <v>676000</v>
      </c>
      <c r="AP53" s="2">
        <v>0</v>
      </c>
      <c r="AQ53" s="2">
        <v>13000</v>
      </c>
      <c r="AR53" s="2">
        <v>4803000</v>
      </c>
      <c r="AU53" s="63"/>
    </row>
    <row r="54" spans="1:47" ht="15.75" customHeight="1" x14ac:dyDescent="0.2">
      <c r="A54" s="21">
        <v>49</v>
      </c>
      <c r="B54" s="21" t="s">
        <v>388</v>
      </c>
      <c r="C54" s="22"/>
      <c r="D54" s="23" t="s">
        <v>276</v>
      </c>
      <c r="E54" s="2">
        <v>61380000</v>
      </c>
      <c r="F54" s="2">
        <v>1146000</v>
      </c>
      <c r="G54" s="2">
        <v>66000</v>
      </c>
      <c r="H54" s="2">
        <v>839000</v>
      </c>
      <c r="I54" s="2">
        <v>181000</v>
      </c>
      <c r="J54" s="2">
        <v>2232000</v>
      </c>
      <c r="K54" s="24">
        <v>3.6363118664017424</v>
      </c>
      <c r="L54" s="25">
        <v>4629000</v>
      </c>
      <c r="M54" s="25">
        <v>373000</v>
      </c>
      <c r="N54" s="25">
        <v>0</v>
      </c>
      <c r="O54" s="25">
        <v>55000</v>
      </c>
      <c r="P54" s="25">
        <v>5058000</v>
      </c>
      <c r="R54" s="23" t="s">
        <v>281</v>
      </c>
      <c r="S54" s="2">
        <v>62800000</v>
      </c>
      <c r="T54" s="2">
        <v>1286000</v>
      </c>
      <c r="U54" s="2">
        <v>82000</v>
      </c>
      <c r="V54" s="2">
        <v>909000</v>
      </c>
      <c r="W54" s="2">
        <v>250000</v>
      </c>
      <c r="X54" s="2">
        <v>2527000</v>
      </c>
      <c r="Y54" s="26">
        <v>4.0238853503184714E-2</v>
      </c>
      <c r="Z54" s="2">
        <v>4703000</v>
      </c>
      <c r="AA54" s="2">
        <v>463000</v>
      </c>
      <c r="AB54" s="2">
        <v>0</v>
      </c>
      <c r="AC54" s="2">
        <v>55000</v>
      </c>
      <c r="AD54" s="2">
        <v>5221000</v>
      </c>
      <c r="AF54" s="23" t="s">
        <v>282</v>
      </c>
      <c r="AG54" s="2">
        <v>45300000</v>
      </c>
      <c r="AH54" s="2">
        <v>1397000</v>
      </c>
      <c r="AI54" s="2">
        <v>97000</v>
      </c>
      <c r="AJ54" s="2">
        <v>909000</v>
      </c>
      <c r="AK54" s="2">
        <v>275000</v>
      </c>
      <c r="AL54" s="2">
        <v>2678000</v>
      </c>
      <c r="AM54" s="26">
        <v>5.9116997792494484E-2</v>
      </c>
      <c r="AN54" s="2">
        <v>4752000</v>
      </c>
      <c r="AO54" s="2">
        <v>550000</v>
      </c>
      <c r="AP54" s="2">
        <v>0</v>
      </c>
      <c r="AQ54" s="2">
        <v>60000</v>
      </c>
      <c r="AR54" s="2">
        <v>5362000</v>
      </c>
      <c r="AU54" s="63"/>
    </row>
    <row r="55" spans="1:47" ht="15.75" customHeight="1" x14ac:dyDescent="0.2">
      <c r="A55" s="21">
        <v>50</v>
      </c>
      <c r="B55" s="21" t="s">
        <v>380</v>
      </c>
      <c r="C55" s="22"/>
      <c r="D55" s="23" t="s">
        <v>276</v>
      </c>
      <c r="E55" s="2">
        <v>94640000</v>
      </c>
      <c r="F55" s="2">
        <v>1610000</v>
      </c>
      <c r="G55" s="2">
        <v>146000</v>
      </c>
      <c r="H55" s="2">
        <v>697000</v>
      </c>
      <c r="I55" s="2">
        <v>0</v>
      </c>
      <c r="J55" s="2">
        <v>2453000</v>
      </c>
      <c r="K55" s="24">
        <v>2.5919702063861907</v>
      </c>
      <c r="L55" s="25">
        <v>4141000</v>
      </c>
      <c r="M55" s="25">
        <v>379000</v>
      </c>
      <c r="N55" s="25">
        <v>0</v>
      </c>
      <c r="O55" s="25">
        <v>158000</v>
      </c>
      <c r="P55" s="25">
        <v>4678000</v>
      </c>
      <c r="R55" s="23" t="s">
        <v>281</v>
      </c>
      <c r="S55" s="2">
        <v>95600000</v>
      </c>
      <c r="T55" s="2">
        <v>2427000</v>
      </c>
      <c r="U55" s="2">
        <v>186000</v>
      </c>
      <c r="V55" s="2">
        <v>755000</v>
      </c>
      <c r="W55" s="2">
        <v>131000</v>
      </c>
      <c r="X55" s="2">
        <v>3499000</v>
      </c>
      <c r="Y55" s="26">
        <v>3.6600418410041843E-2</v>
      </c>
      <c r="Z55" s="2">
        <v>4459000</v>
      </c>
      <c r="AA55" s="2">
        <v>479000</v>
      </c>
      <c r="AB55" s="2">
        <v>0</v>
      </c>
      <c r="AC55" s="2">
        <v>61000</v>
      </c>
      <c r="AD55" s="2">
        <v>4999000</v>
      </c>
      <c r="AF55" s="23" t="s">
        <v>282</v>
      </c>
      <c r="AG55" s="2">
        <v>69500000</v>
      </c>
      <c r="AH55" s="2">
        <v>2563000</v>
      </c>
      <c r="AI55" s="2">
        <v>218000</v>
      </c>
      <c r="AJ55" s="2">
        <v>755000</v>
      </c>
      <c r="AK55" s="2">
        <v>145000</v>
      </c>
      <c r="AL55" s="2">
        <v>3681000</v>
      </c>
      <c r="AM55" s="26">
        <v>5.2964028776978415E-2</v>
      </c>
      <c r="AN55" s="2">
        <v>4539000</v>
      </c>
      <c r="AO55" s="2">
        <v>562000</v>
      </c>
      <c r="AP55" s="2">
        <v>0</v>
      </c>
      <c r="AQ55" s="2">
        <v>66000</v>
      </c>
      <c r="AR55" s="2">
        <v>5167000</v>
      </c>
      <c r="AU55" s="63"/>
    </row>
    <row r="56" spans="1:47" ht="15.75" customHeight="1" x14ac:dyDescent="0.2">
      <c r="A56" s="21">
        <v>51</v>
      </c>
      <c r="B56" s="21" t="s">
        <v>389</v>
      </c>
      <c r="C56" s="22"/>
      <c r="D56" s="23" t="s">
        <v>276</v>
      </c>
      <c r="E56" s="2">
        <v>38870000</v>
      </c>
      <c r="F56" s="2">
        <v>1047000</v>
      </c>
      <c r="G56" s="2">
        <v>59000</v>
      </c>
      <c r="H56" s="2">
        <v>45000</v>
      </c>
      <c r="I56" s="2">
        <v>23000</v>
      </c>
      <c r="J56" s="2">
        <v>1174000</v>
      </c>
      <c r="K56" s="24">
        <v>3.0199611546362615</v>
      </c>
      <c r="L56" s="25">
        <v>8168000</v>
      </c>
      <c r="M56" s="25">
        <v>521000</v>
      </c>
      <c r="N56" s="25">
        <v>0</v>
      </c>
      <c r="O56" s="25">
        <v>5000</v>
      </c>
      <c r="P56" s="25">
        <v>8695000</v>
      </c>
      <c r="R56" s="23" t="s">
        <v>281</v>
      </c>
      <c r="S56" s="2">
        <v>38300000</v>
      </c>
      <c r="T56" s="2">
        <v>1358000</v>
      </c>
      <c r="U56" s="2">
        <v>113000</v>
      </c>
      <c r="V56" s="2">
        <v>49000</v>
      </c>
      <c r="W56" s="2">
        <v>61000</v>
      </c>
      <c r="X56" s="2">
        <v>1581000</v>
      </c>
      <c r="Y56" s="26">
        <v>4.1279373368146216E-2</v>
      </c>
      <c r="Z56" s="2">
        <v>8462000</v>
      </c>
      <c r="AA56" s="2">
        <v>924000</v>
      </c>
      <c r="AB56" s="2">
        <v>0</v>
      </c>
      <c r="AC56" s="2">
        <v>8000</v>
      </c>
      <c r="AD56" s="2">
        <v>9394000</v>
      </c>
      <c r="AF56" s="23" t="s">
        <v>282</v>
      </c>
      <c r="AG56" s="2">
        <v>28300000</v>
      </c>
      <c r="AH56" s="2">
        <v>1476000</v>
      </c>
      <c r="AI56" s="2">
        <v>132000</v>
      </c>
      <c r="AJ56" s="2">
        <v>49000</v>
      </c>
      <c r="AK56" s="2">
        <v>68000</v>
      </c>
      <c r="AL56" s="2">
        <v>1725000</v>
      </c>
      <c r="AM56" s="26">
        <v>6.0954063604240286E-2</v>
      </c>
      <c r="AN56" s="2">
        <v>8584000</v>
      </c>
      <c r="AO56" s="2">
        <v>1076000</v>
      </c>
      <c r="AP56" s="2">
        <v>0</v>
      </c>
      <c r="AQ56" s="2">
        <v>9000</v>
      </c>
      <c r="AR56" s="2">
        <v>9669000</v>
      </c>
      <c r="AU56" s="63"/>
    </row>
    <row r="57" spans="1:47" ht="15.75" customHeight="1" x14ac:dyDescent="0.2">
      <c r="A57" s="21">
        <v>52</v>
      </c>
      <c r="B57" s="21" t="s">
        <v>390</v>
      </c>
      <c r="C57" s="22"/>
      <c r="D57" s="23" t="s">
        <v>276</v>
      </c>
      <c r="E57" s="2">
        <v>94180000</v>
      </c>
      <c r="F57" s="2">
        <v>3715000</v>
      </c>
      <c r="G57" s="2">
        <v>44000</v>
      </c>
      <c r="H57" s="2">
        <v>3923000</v>
      </c>
      <c r="I57" s="2">
        <v>120000</v>
      </c>
      <c r="J57" s="2">
        <v>7801000</v>
      </c>
      <c r="K57" s="24">
        <v>8.2834005777650042</v>
      </c>
      <c r="L57" s="25">
        <v>7754000</v>
      </c>
      <c r="M57" s="25">
        <v>293000</v>
      </c>
      <c r="N57" s="25">
        <v>0</v>
      </c>
      <c r="O57" s="25">
        <v>0</v>
      </c>
      <c r="P57" s="25">
        <v>8046000</v>
      </c>
      <c r="R57" s="23" t="s">
        <v>281</v>
      </c>
      <c r="S57" s="2">
        <v>93000000</v>
      </c>
      <c r="T57" s="2">
        <v>4734000</v>
      </c>
      <c r="U57" s="2">
        <v>48000</v>
      </c>
      <c r="V57" s="2">
        <v>4249000</v>
      </c>
      <c r="W57" s="2">
        <v>245000</v>
      </c>
      <c r="X57" s="2">
        <v>9276000</v>
      </c>
      <c r="Y57" s="26">
        <v>9.9741935483870961E-2</v>
      </c>
      <c r="Z57" s="2">
        <v>7992000</v>
      </c>
      <c r="AA57" s="2">
        <v>325000</v>
      </c>
      <c r="AB57" s="2">
        <v>0</v>
      </c>
      <c r="AC57" s="2">
        <v>0</v>
      </c>
      <c r="AD57" s="2">
        <v>8317000</v>
      </c>
      <c r="AF57" s="23" t="s">
        <v>282</v>
      </c>
      <c r="AG57" s="2">
        <v>65900000</v>
      </c>
      <c r="AH57" s="2">
        <v>5027000</v>
      </c>
      <c r="AI57" s="2">
        <v>57000</v>
      </c>
      <c r="AJ57" s="2">
        <v>4249000</v>
      </c>
      <c r="AK57" s="2">
        <v>267000</v>
      </c>
      <c r="AL57" s="2">
        <v>9600000</v>
      </c>
      <c r="AM57" s="26">
        <v>0.1456752655538695</v>
      </c>
      <c r="AN57" s="2">
        <v>8120000</v>
      </c>
      <c r="AO57" s="2">
        <v>390000</v>
      </c>
      <c r="AP57" s="2">
        <v>0</v>
      </c>
      <c r="AQ57" s="2">
        <v>0</v>
      </c>
      <c r="AR57" s="2">
        <v>8510000</v>
      </c>
      <c r="AU57" s="63"/>
    </row>
    <row r="58" spans="1:47" ht="15.75" customHeight="1" x14ac:dyDescent="0.2">
      <c r="A58" s="21">
        <v>53</v>
      </c>
      <c r="B58" s="21" t="s">
        <v>217</v>
      </c>
      <c r="C58" s="22"/>
      <c r="D58" s="23" t="s">
        <v>276</v>
      </c>
      <c r="E58" s="2">
        <v>49240000.000000007</v>
      </c>
      <c r="F58" s="2">
        <v>340000</v>
      </c>
      <c r="G58" s="2">
        <v>16000</v>
      </c>
      <c r="H58" s="2">
        <v>0</v>
      </c>
      <c r="I58" s="2">
        <v>0</v>
      </c>
      <c r="J58" s="2">
        <v>357000</v>
      </c>
      <c r="K58" s="24">
        <v>0.72420011935929307</v>
      </c>
      <c r="L58" s="25">
        <v>1015000</v>
      </c>
      <c r="M58" s="25">
        <v>49000</v>
      </c>
      <c r="N58" s="25">
        <v>0</v>
      </c>
      <c r="O58" s="25">
        <v>0</v>
      </c>
      <c r="P58" s="25">
        <v>1063000</v>
      </c>
      <c r="R58" s="23" t="s">
        <v>281</v>
      </c>
      <c r="S58" s="2">
        <v>48000000</v>
      </c>
      <c r="T58" s="2">
        <v>316000</v>
      </c>
      <c r="U58" s="2">
        <v>20000</v>
      </c>
      <c r="V58" s="2">
        <v>0</v>
      </c>
      <c r="W58" s="2">
        <v>11000</v>
      </c>
      <c r="X58" s="2">
        <v>347000</v>
      </c>
      <c r="Y58" s="26">
        <v>7.2291666666666667E-3</v>
      </c>
      <c r="Z58" s="2">
        <v>1012000</v>
      </c>
      <c r="AA58" s="2">
        <v>59000</v>
      </c>
      <c r="AB58" s="2">
        <v>0</v>
      </c>
      <c r="AC58" s="2">
        <v>0</v>
      </c>
      <c r="AD58" s="2">
        <v>1071000</v>
      </c>
      <c r="AF58" s="23" t="s">
        <v>282</v>
      </c>
      <c r="AG58" s="2">
        <v>36100000</v>
      </c>
      <c r="AH58" s="2">
        <v>332000</v>
      </c>
      <c r="AI58" s="2">
        <v>25000</v>
      </c>
      <c r="AJ58" s="2">
        <v>0</v>
      </c>
      <c r="AK58" s="2">
        <v>12000</v>
      </c>
      <c r="AL58" s="2">
        <v>369000</v>
      </c>
      <c r="AM58" s="26">
        <v>1.0221606648199447E-2</v>
      </c>
      <c r="AN58" s="2">
        <v>1025000</v>
      </c>
      <c r="AO58" s="2">
        <v>74000</v>
      </c>
      <c r="AP58" s="2">
        <v>0</v>
      </c>
      <c r="AQ58" s="2">
        <v>0</v>
      </c>
      <c r="AR58" s="2">
        <v>1099000</v>
      </c>
      <c r="AU58" s="63"/>
    </row>
    <row r="59" spans="1:47" ht="15.75" customHeight="1" x14ac:dyDescent="0.2">
      <c r="A59" s="21">
        <v>54</v>
      </c>
      <c r="B59" s="21" t="s">
        <v>211</v>
      </c>
      <c r="C59" s="22"/>
      <c r="D59" s="23" t="s">
        <v>276</v>
      </c>
      <c r="E59" s="2">
        <v>39159999.999999993</v>
      </c>
      <c r="F59" s="2">
        <v>11527000</v>
      </c>
      <c r="G59" s="2">
        <v>284000</v>
      </c>
      <c r="H59" s="2">
        <v>1423000</v>
      </c>
      <c r="I59" s="2">
        <v>19000</v>
      </c>
      <c r="J59" s="2">
        <v>13254000</v>
      </c>
      <c r="K59" s="24">
        <v>33.846094797575958</v>
      </c>
      <c r="L59" s="25">
        <v>107000</v>
      </c>
      <c r="M59" s="25">
        <v>2000</v>
      </c>
      <c r="N59" s="25">
        <v>0</v>
      </c>
      <c r="O59" s="25">
        <v>0</v>
      </c>
      <c r="P59" s="25">
        <v>109000</v>
      </c>
      <c r="R59" s="23" t="s">
        <v>281</v>
      </c>
      <c r="S59" s="2">
        <v>36900000</v>
      </c>
      <c r="T59" s="2">
        <v>14148000</v>
      </c>
      <c r="U59" s="2">
        <v>310000</v>
      </c>
      <c r="V59" s="2">
        <v>1541000</v>
      </c>
      <c r="W59" s="2">
        <v>0</v>
      </c>
      <c r="X59" s="2">
        <v>15999000</v>
      </c>
      <c r="Y59" s="26">
        <v>0.43357723577235774</v>
      </c>
      <c r="Z59" s="2">
        <v>107000</v>
      </c>
      <c r="AA59" s="2">
        <v>3000</v>
      </c>
      <c r="AB59" s="2">
        <v>0</v>
      </c>
      <c r="AC59" s="2">
        <v>0</v>
      </c>
      <c r="AD59" s="2">
        <v>110000</v>
      </c>
      <c r="AF59" s="23" t="s">
        <v>282</v>
      </c>
      <c r="AG59" s="2">
        <v>25800000</v>
      </c>
      <c r="AH59" s="2">
        <v>14970000</v>
      </c>
      <c r="AI59" s="2">
        <v>378000</v>
      </c>
      <c r="AJ59" s="2">
        <v>1541000</v>
      </c>
      <c r="AK59" s="2">
        <v>0</v>
      </c>
      <c r="AL59" s="2">
        <v>16889000</v>
      </c>
      <c r="AM59" s="26">
        <v>0.65461240310077518</v>
      </c>
      <c r="AN59" s="2">
        <v>107000</v>
      </c>
      <c r="AO59" s="2">
        <v>3000</v>
      </c>
      <c r="AP59" s="2">
        <v>0</v>
      </c>
      <c r="AQ59" s="2">
        <v>0</v>
      </c>
      <c r="AR59" s="2">
        <v>110000</v>
      </c>
      <c r="AU59" s="63"/>
    </row>
    <row r="60" spans="1:47" ht="15.75" customHeight="1" x14ac:dyDescent="0.2">
      <c r="A60" s="21">
        <v>55</v>
      </c>
      <c r="B60" s="21" t="s">
        <v>391</v>
      </c>
      <c r="C60" s="22"/>
      <c r="D60" s="23" t="s">
        <v>276</v>
      </c>
      <c r="E60" s="2">
        <v>208010000</v>
      </c>
      <c r="F60" s="2">
        <v>820000</v>
      </c>
      <c r="G60" s="2">
        <v>29000</v>
      </c>
      <c r="H60" s="2">
        <v>3748000</v>
      </c>
      <c r="I60" s="2">
        <v>101000</v>
      </c>
      <c r="J60" s="2">
        <v>4698000</v>
      </c>
      <c r="K60" s="24">
        <v>2.2586490557550083</v>
      </c>
      <c r="L60" s="25">
        <v>7577000</v>
      </c>
      <c r="M60" s="25">
        <v>535000</v>
      </c>
      <c r="N60" s="25">
        <v>0</v>
      </c>
      <c r="O60" s="25">
        <v>413000</v>
      </c>
      <c r="P60" s="25">
        <v>8525000</v>
      </c>
      <c r="R60" s="23" t="s">
        <v>281</v>
      </c>
      <c r="S60" s="2">
        <v>212100000</v>
      </c>
      <c r="T60" s="2">
        <v>1107000</v>
      </c>
      <c r="U60" s="2">
        <v>36000</v>
      </c>
      <c r="V60" s="2">
        <v>4060000</v>
      </c>
      <c r="W60" s="2">
        <v>185000</v>
      </c>
      <c r="X60" s="2">
        <v>5388000</v>
      </c>
      <c r="Y60" s="26">
        <v>2.5403111739745403E-2</v>
      </c>
      <c r="Z60" s="2">
        <v>8159000</v>
      </c>
      <c r="AA60" s="2">
        <v>319000</v>
      </c>
      <c r="AB60" s="2">
        <v>0</v>
      </c>
      <c r="AC60" s="2">
        <v>352000</v>
      </c>
      <c r="AD60" s="2">
        <v>8830000</v>
      </c>
      <c r="AF60" s="23" t="s">
        <v>282</v>
      </c>
      <c r="AG60" s="2">
        <v>146600000</v>
      </c>
      <c r="AH60" s="2">
        <v>1198000</v>
      </c>
      <c r="AI60" s="2">
        <v>45000</v>
      </c>
      <c r="AJ60" s="2">
        <v>4060000</v>
      </c>
      <c r="AK60" s="2">
        <v>194000</v>
      </c>
      <c r="AL60" s="2">
        <v>5497000</v>
      </c>
      <c r="AM60" s="26">
        <v>3.7496589358799452E-2</v>
      </c>
      <c r="AN60" s="2">
        <v>8359000</v>
      </c>
      <c r="AO60" s="2">
        <v>402000</v>
      </c>
      <c r="AP60" s="2">
        <v>0</v>
      </c>
      <c r="AQ60" s="2">
        <v>352000</v>
      </c>
      <c r="AR60" s="2">
        <v>9113000</v>
      </c>
      <c r="AU60" s="63"/>
    </row>
    <row r="61" spans="1:47" ht="15.75" customHeight="1" x14ac:dyDescent="0.2">
      <c r="A61" s="21">
        <v>56</v>
      </c>
      <c r="B61" s="21" t="s">
        <v>380</v>
      </c>
      <c r="C61" s="22"/>
      <c r="D61" s="23" t="s">
        <v>276</v>
      </c>
      <c r="E61" s="2">
        <v>80830000</v>
      </c>
      <c r="F61" s="2">
        <v>35815000</v>
      </c>
      <c r="G61" s="2">
        <v>149000</v>
      </c>
      <c r="H61" s="2">
        <v>0</v>
      </c>
      <c r="I61" s="2">
        <v>29000</v>
      </c>
      <c r="J61" s="2">
        <v>35993000</v>
      </c>
      <c r="K61" s="24">
        <v>44.529649448538308</v>
      </c>
      <c r="L61" s="25">
        <v>4634000</v>
      </c>
      <c r="M61" s="25">
        <v>364000</v>
      </c>
      <c r="N61" s="25">
        <v>0</v>
      </c>
      <c r="O61" s="25">
        <v>479000</v>
      </c>
      <c r="P61" s="25">
        <v>5477000</v>
      </c>
      <c r="R61" s="23" t="s">
        <v>281</v>
      </c>
      <c r="S61" s="2">
        <v>85800000</v>
      </c>
      <c r="T61" s="2">
        <v>36002000</v>
      </c>
      <c r="U61" s="2">
        <v>182000</v>
      </c>
      <c r="V61" s="2">
        <v>0</v>
      </c>
      <c r="W61" s="2">
        <v>51000</v>
      </c>
      <c r="X61" s="2">
        <v>36235000</v>
      </c>
      <c r="Y61" s="26">
        <v>0.42231934731934734</v>
      </c>
      <c r="Z61" s="2">
        <v>5226000</v>
      </c>
      <c r="AA61" s="2">
        <v>24000</v>
      </c>
      <c r="AB61" s="2">
        <v>0</v>
      </c>
      <c r="AC61" s="2">
        <v>470000</v>
      </c>
      <c r="AD61" s="2">
        <v>5720000</v>
      </c>
      <c r="AF61" s="23" t="s">
        <v>282</v>
      </c>
      <c r="AG61" s="2">
        <v>56900000</v>
      </c>
      <c r="AH61" s="2">
        <v>36038000</v>
      </c>
      <c r="AI61" s="2">
        <v>222000</v>
      </c>
      <c r="AJ61" s="2">
        <v>0</v>
      </c>
      <c r="AK61" s="2">
        <v>56000</v>
      </c>
      <c r="AL61" s="2">
        <v>36316000</v>
      </c>
      <c r="AM61" s="26">
        <v>0.6382425307557118</v>
      </c>
      <c r="AN61" s="2">
        <v>5425000</v>
      </c>
      <c r="AO61" s="2">
        <v>29000</v>
      </c>
      <c r="AP61" s="2">
        <v>0</v>
      </c>
      <c r="AQ61" s="2">
        <v>470000</v>
      </c>
      <c r="AR61" s="2">
        <v>5924000</v>
      </c>
      <c r="AU61" s="63"/>
    </row>
    <row r="62" spans="1:47" ht="15.75" customHeight="1" x14ac:dyDescent="0.2">
      <c r="A62" s="21">
        <v>57</v>
      </c>
      <c r="B62" s="21" t="s">
        <v>380</v>
      </c>
      <c r="C62" s="22"/>
      <c r="D62" s="23" t="s">
        <v>276</v>
      </c>
      <c r="E62" s="2">
        <v>55980000</v>
      </c>
      <c r="F62" s="2">
        <v>195000</v>
      </c>
      <c r="G62" s="2">
        <v>27000</v>
      </c>
      <c r="H62" s="2">
        <v>0</v>
      </c>
      <c r="I62" s="2">
        <v>4000</v>
      </c>
      <c r="J62" s="2">
        <v>226000</v>
      </c>
      <c r="K62" s="24">
        <v>0.40342566809606228</v>
      </c>
      <c r="L62" s="25">
        <v>1721000</v>
      </c>
      <c r="M62" s="25">
        <v>234000</v>
      </c>
      <c r="N62" s="25">
        <v>0</v>
      </c>
      <c r="O62" s="25">
        <v>15000</v>
      </c>
      <c r="P62" s="25">
        <v>1970000</v>
      </c>
      <c r="R62" s="23" t="s">
        <v>281</v>
      </c>
      <c r="S62" s="2">
        <v>58100000</v>
      </c>
      <c r="T62" s="2">
        <v>361000</v>
      </c>
      <c r="U62" s="2">
        <v>34000</v>
      </c>
      <c r="V62" s="2">
        <v>0</v>
      </c>
      <c r="W62" s="2">
        <v>24000</v>
      </c>
      <c r="X62" s="2">
        <v>419000</v>
      </c>
      <c r="Y62" s="26">
        <v>7.2117039586919104E-3</v>
      </c>
      <c r="Z62" s="2">
        <v>1844000</v>
      </c>
      <c r="AA62" s="2">
        <v>297000</v>
      </c>
      <c r="AB62" s="2">
        <v>0</v>
      </c>
      <c r="AC62" s="2">
        <v>0</v>
      </c>
      <c r="AD62" s="2">
        <v>2141000</v>
      </c>
      <c r="AF62" s="23" t="s">
        <v>282</v>
      </c>
      <c r="AG62" s="2">
        <v>39500000</v>
      </c>
      <c r="AH62" s="2">
        <v>388000</v>
      </c>
      <c r="AI62" s="2">
        <v>39000</v>
      </c>
      <c r="AJ62" s="2">
        <v>0</v>
      </c>
      <c r="AK62" s="2">
        <v>27000</v>
      </c>
      <c r="AL62" s="2">
        <v>454000</v>
      </c>
      <c r="AM62" s="26">
        <v>1.149367088607595E-2</v>
      </c>
      <c r="AN62" s="2">
        <v>1896000</v>
      </c>
      <c r="AO62" s="2">
        <v>345000</v>
      </c>
      <c r="AP62" s="2">
        <v>0</v>
      </c>
      <c r="AQ62" s="2">
        <v>0</v>
      </c>
      <c r="AR62" s="2">
        <v>2241000</v>
      </c>
      <c r="AU62" s="63"/>
    </row>
    <row r="63" spans="1:47" ht="15.75" customHeight="1" x14ac:dyDescent="0.2">
      <c r="A63" s="21">
        <v>58</v>
      </c>
      <c r="B63" s="21" t="s">
        <v>8</v>
      </c>
      <c r="C63" s="22"/>
      <c r="D63" s="23" t="s">
        <v>276</v>
      </c>
      <c r="E63" s="2">
        <v>41350000</v>
      </c>
      <c r="F63" s="2">
        <v>2213000</v>
      </c>
      <c r="G63" s="2">
        <v>378000</v>
      </c>
      <c r="H63" s="2">
        <v>21207000</v>
      </c>
      <c r="I63" s="2">
        <v>0</v>
      </c>
      <c r="J63" s="2">
        <v>23799000</v>
      </c>
      <c r="K63" s="24">
        <v>57.553969713801692</v>
      </c>
      <c r="L63" s="25">
        <v>1089000</v>
      </c>
      <c r="M63" s="25">
        <v>73000</v>
      </c>
      <c r="N63" s="25">
        <v>0</v>
      </c>
      <c r="O63" s="25">
        <v>21000</v>
      </c>
      <c r="P63" s="25">
        <v>1183000</v>
      </c>
      <c r="R63" s="23" t="s">
        <v>281</v>
      </c>
      <c r="S63" s="2">
        <v>43300000</v>
      </c>
      <c r="T63" s="2">
        <v>3345000</v>
      </c>
      <c r="U63" s="2">
        <v>792000</v>
      </c>
      <c r="V63" s="2">
        <v>25076000</v>
      </c>
      <c r="W63" s="2">
        <v>0</v>
      </c>
      <c r="X63" s="2">
        <v>29213000</v>
      </c>
      <c r="Y63" s="26">
        <v>0.67466512702078518</v>
      </c>
      <c r="Z63" s="2">
        <v>1219000</v>
      </c>
      <c r="AA63" s="2">
        <v>90000</v>
      </c>
      <c r="AB63" s="2">
        <v>0</v>
      </c>
      <c r="AC63" s="2">
        <v>32000</v>
      </c>
      <c r="AD63" s="2">
        <v>1341000</v>
      </c>
      <c r="AF63" s="23" t="s">
        <v>282</v>
      </c>
      <c r="AG63" s="2">
        <v>35100000</v>
      </c>
      <c r="AH63" s="2">
        <v>3628000</v>
      </c>
      <c r="AI63" s="2">
        <v>889000</v>
      </c>
      <c r="AJ63" s="2">
        <v>25076000</v>
      </c>
      <c r="AK63" s="2">
        <v>0</v>
      </c>
      <c r="AL63" s="2">
        <v>29593000</v>
      </c>
      <c r="AM63" s="26">
        <v>0.84310541310541309</v>
      </c>
      <c r="AN63" s="2">
        <v>1263000</v>
      </c>
      <c r="AO63" s="2">
        <v>107000</v>
      </c>
      <c r="AP63" s="2">
        <v>0</v>
      </c>
      <c r="AQ63" s="2">
        <v>35000</v>
      </c>
      <c r="AR63" s="2">
        <v>1405000</v>
      </c>
      <c r="AU63" s="63"/>
    </row>
    <row r="64" spans="1:47" ht="15.75" customHeight="1" x14ac:dyDescent="0.2">
      <c r="A64" s="21">
        <v>59</v>
      </c>
      <c r="B64" s="21" t="s">
        <v>392</v>
      </c>
      <c r="C64" s="22"/>
      <c r="D64" s="23" t="s">
        <v>276</v>
      </c>
      <c r="E64" s="2">
        <v>70070000</v>
      </c>
      <c r="F64" s="2">
        <v>26000</v>
      </c>
      <c r="G64" s="2">
        <v>1000</v>
      </c>
      <c r="H64" s="2">
        <v>373000</v>
      </c>
      <c r="I64" s="2">
        <v>0</v>
      </c>
      <c r="J64" s="2">
        <v>401000</v>
      </c>
      <c r="K64" s="24">
        <v>0.57161937366303817</v>
      </c>
      <c r="L64" s="25">
        <v>2042000</v>
      </c>
      <c r="M64" s="25">
        <v>786000</v>
      </c>
      <c r="N64" s="25">
        <v>0</v>
      </c>
      <c r="O64" s="25">
        <v>7000</v>
      </c>
      <c r="P64" s="25">
        <v>2835000</v>
      </c>
      <c r="R64" s="23" t="s">
        <v>281</v>
      </c>
      <c r="S64" s="2">
        <v>70900000</v>
      </c>
      <c r="T64" s="2">
        <v>48000</v>
      </c>
      <c r="U64" s="2">
        <v>2000</v>
      </c>
      <c r="V64" s="2">
        <v>404000</v>
      </c>
      <c r="W64" s="2">
        <v>0</v>
      </c>
      <c r="X64" s="2">
        <v>454000</v>
      </c>
      <c r="Y64" s="26">
        <v>6.4033850493653037E-3</v>
      </c>
      <c r="Z64" s="2">
        <v>2244000</v>
      </c>
      <c r="AA64" s="2">
        <v>125000</v>
      </c>
      <c r="AB64" s="2">
        <v>0</v>
      </c>
      <c r="AC64" s="2">
        <v>7000</v>
      </c>
      <c r="AD64" s="2">
        <v>2376000</v>
      </c>
      <c r="AF64" s="23" t="s">
        <v>282</v>
      </c>
      <c r="AG64" s="2">
        <v>53400000</v>
      </c>
      <c r="AH64" s="2">
        <v>55000</v>
      </c>
      <c r="AI64" s="2">
        <v>2000</v>
      </c>
      <c r="AJ64" s="2">
        <v>404000</v>
      </c>
      <c r="AK64" s="2">
        <v>0</v>
      </c>
      <c r="AL64" s="2">
        <v>461000</v>
      </c>
      <c r="AM64" s="26">
        <v>8.6329588014981279E-3</v>
      </c>
      <c r="AN64" s="2">
        <v>2269000</v>
      </c>
      <c r="AO64" s="2">
        <v>156000</v>
      </c>
      <c r="AP64" s="2">
        <v>0</v>
      </c>
      <c r="AQ64" s="2">
        <v>7000</v>
      </c>
      <c r="AR64" s="2">
        <v>2432000</v>
      </c>
      <c r="AU64" s="63"/>
    </row>
    <row r="65" spans="1:47" ht="15.75" customHeight="1" x14ac:dyDescent="0.2">
      <c r="A65" s="21">
        <v>60</v>
      </c>
      <c r="B65" s="21" t="s">
        <v>393</v>
      </c>
      <c r="C65" s="22"/>
      <c r="D65" s="23" t="s">
        <v>276</v>
      </c>
      <c r="E65" s="2">
        <v>120530000</v>
      </c>
      <c r="F65" s="2">
        <v>0</v>
      </c>
      <c r="G65" s="2">
        <v>9000</v>
      </c>
      <c r="H65" s="2">
        <v>2155000</v>
      </c>
      <c r="I65" s="2">
        <v>532000</v>
      </c>
      <c r="J65" s="2">
        <v>2697000</v>
      </c>
      <c r="K65" s="24">
        <v>2.23732860426581</v>
      </c>
      <c r="L65" s="25">
        <v>3078000</v>
      </c>
      <c r="M65" s="25">
        <v>406000</v>
      </c>
      <c r="N65" s="25">
        <v>0</v>
      </c>
      <c r="O65" s="25">
        <v>0</v>
      </c>
      <c r="P65" s="25">
        <v>3484000</v>
      </c>
      <c r="R65" s="23" t="s">
        <v>281</v>
      </c>
      <c r="S65" s="2">
        <v>110600000</v>
      </c>
      <c r="T65" s="2">
        <v>0</v>
      </c>
      <c r="U65" s="2">
        <v>0</v>
      </c>
      <c r="V65" s="2">
        <v>2334000</v>
      </c>
      <c r="W65" s="2">
        <v>632000</v>
      </c>
      <c r="X65" s="2">
        <v>2966000</v>
      </c>
      <c r="Y65" s="26">
        <v>2.6817359855334538E-2</v>
      </c>
      <c r="Z65" s="2">
        <v>2855000</v>
      </c>
      <c r="AA65" s="2">
        <v>444000</v>
      </c>
      <c r="AB65" s="2">
        <v>0</v>
      </c>
      <c r="AC65" s="2">
        <v>0</v>
      </c>
      <c r="AD65" s="2">
        <v>3299000</v>
      </c>
      <c r="AF65" s="23" t="s">
        <v>282</v>
      </c>
      <c r="AG65" s="2">
        <v>86400000</v>
      </c>
      <c r="AH65" s="2">
        <v>0</v>
      </c>
      <c r="AI65" s="2">
        <v>0</v>
      </c>
      <c r="AJ65" s="2">
        <v>2334000</v>
      </c>
      <c r="AK65" s="2">
        <v>881000</v>
      </c>
      <c r="AL65" s="2">
        <v>3215000</v>
      </c>
      <c r="AM65" s="26">
        <v>3.7210648148148145E-2</v>
      </c>
      <c r="AN65" s="2">
        <v>2925000</v>
      </c>
      <c r="AO65" s="2">
        <v>602000</v>
      </c>
      <c r="AP65" s="2">
        <v>0</v>
      </c>
      <c r="AQ65" s="2">
        <v>0</v>
      </c>
      <c r="AR65" s="2">
        <v>3527000</v>
      </c>
      <c r="AU65" s="63"/>
    </row>
    <row r="66" spans="1:47" ht="15.75" customHeight="1" x14ac:dyDescent="0.2">
      <c r="A66" s="21">
        <v>61</v>
      </c>
      <c r="B66" s="21" t="s">
        <v>394</v>
      </c>
      <c r="C66" s="22"/>
      <c r="D66" s="23" t="s">
        <v>276</v>
      </c>
      <c r="E66" s="2">
        <v>61020000</v>
      </c>
      <c r="F66" s="2">
        <v>185000</v>
      </c>
      <c r="G66" s="2">
        <v>41000</v>
      </c>
      <c r="H66" s="2">
        <v>752000</v>
      </c>
      <c r="I66" s="2">
        <v>0</v>
      </c>
      <c r="J66" s="2">
        <v>978000</v>
      </c>
      <c r="K66" s="24">
        <v>1.6032153661780579</v>
      </c>
      <c r="L66" s="25">
        <v>2197000</v>
      </c>
      <c r="M66" s="25">
        <v>503000</v>
      </c>
      <c r="N66" s="25">
        <v>0</v>
      </c>
      <c r="O66" s="25">
        <v>14000</v>
      </c>
      <c r="P66" s="25">
        <v>2713000</v>
      </c>
      <c r="R66" s="23" t="s">
        <v>281</v>
      </c>
      <c r="S66" s="2">
        <v>58000000</v>
      </c>
      <c r="T66" s="2">
        <v>93000</v>
      </c>
      <c r="U66" s="2">
        <v>49000</v>
      </c>
      <c r="V66" s="2">
        <v>815000</v>
      </c>
      <c r="W66" s="2">
        <v>0</v>
      </c>
      <c r="X66" s="2">
        <v>957000</v>
      </c>
      <c r="Y66" s="26">
        <v>1.6500000000000001E-2</v>
      </c>
      <c r="Z66" s="2">
        <v>1985000</v>
      </c>
      <c r="AA66" s="2">
        <v>603000</v>
      </c>
      <c r="AB66" s="2">
        <v>0</v>
      </c>
      <c r="AC66" s="2">
        <v>2000</v>
      </c>
      <c r="AD66" s="2">
        <v>2590000</v>
      </c>
      <c r="AF66" s="23" t="s">
        <v>282</v>
      </c>
      <c r="AG66" s="2">
        <v>42800000</v>
      </c>
      <c r="AH66" s="2">
        <v>111000</v>
      </c>
      <c r="AI66" s="2">
        <v>60000</v>
      </c>
      <c r="AJ66" s="2">
        <v>815000</v>
      </c>
      <c r="AK66" s="2">
        <v>0</v>
      </c>
      <c r="AL66" s="2">
        <v>986000</v>
      </c>
      <c r="AM66" s="26">
        <v>2.3037383177570092E-2</v>
      </c>
      <c r="AN66" s="2">
        <v>2018000</v>
      </c>
      <c r="AO66" s="2">
        <v>745000</v>
      </c>
      <c r="AP66" s="2">
        <v>0</v>
      </c>
      <c r="AQ66" s="2">
        <v>2000</v>
      </c>
      <c r="AR66" s="2">
        <v>2765000</v>
      </c>
      <c r="AU66" s="63"/>
    </row>
    <row r="67" spans="1:47" ht="15.75" customHeight="1" x14ac:dyDescent="0.2">
      <c r="A67" s="21">
        <v>62</v>
      </c>
      <c r="B67" s="21" t="s">
        <v>395</v>
      </c>
      <c r="C67" s="22"/>
      <c r="D67" s="23" t="s">
        <v>276</v>
      </c>
      <c r="E67" s="2">
        <v>45150000</v>
      </c>
      <c r="F67" s="2">
        <v>63000</v>
      </c>
      <c r="G67" s="2">
        <v>12000</v>
      </c>
      <c r="H67" s="2">
        <v>0</v>
      </c>
      <c r="I67" s="2">
        <v>0</v>
      </c>
      <c r="J67" s="2">
        <v>75000</v>
      </c>
      <c r="K67" s="24">
        <v>0.1653995523983067</v>
      </c>
      <c r="L67" s="25">
        <v>1462000</v>
      </c>
      <c r="M67" s="25">
        <v>123000</v>
      </c>
      <c r="N67" s="25">
        <v>0</v>
      </c>
      <c r="O67" s="25">
        <v>234000</v>
      </c>
      <c r="P67" s="25">
        <v>1819000</v>
      </c>
      <c r="R67" s="23" t="s">
        <v>281</v>
      </c>
      <c r="S67" s="2">
        <v>41000000</v>
      </c>
      <c r="T67" s="2">
        <v>55000</v>
      </c>
      <c r="U67" s="2">
        <v>13000</v>
      </c>
      <c r="V67" s="2">
        <v>0</v>
      </c>
      <c r="W67" s="2">
        <v>28000</v>
      </c>
      <c r="X67" s="2">
        <v>96000</v>
      </c>
      <c r="Y67" s="26">
        <v>2.3414634146341463E-3</v>
      </c>
      <c r="Z67" s="2">
        <v>1261000</v>
      </c>
      <c r="AA67" s="2">
        <v>136000</v>
      </c>
      <c r="AB67" s="2">
        <v>0</v>
      </c>
      <c r="AC67" s="2">
        <v>247000</v>
      </c>
      <c r="AD67" s="2">
        <v>1644000</v>
      </c>
      <c r="AF67" s="23" t="s">
        <v>282</v>
      </c>
      <c r="AG67" s="2">
        <v>34800000</v>
      </c>
      <c r="AH67" s="2">
        <v>61000</v>
      </c>
      <c r="AI67" s="2">
        <v>18000</v>
      </c>
      <c r="AJ67" s="2">
        <v>0</v>
      </c>
      <c r="AK67" s="2">
        <v>42000</v>
      </c>
      <c r="AL67" s="2">
        <v>121000</v>
      </c>
      <c r="AM67" s="26">
        <v>3.4770114942528738E-3</v>
      </c>
      <c r="AN67" s="2">
        <v>1297000</v>
      </c>
      <c r="AO67" s="2">
        <v>185000</v>
      </c>
      <c r="AP67" s="2">
        <v>0</v>
      </c>
      <c r="AQ67" s="2">
        <v>343000</v>
      </c>
      <c r="AR67" s="2">
        <v>1825000</v>
      </c>
      <c r="AU67" s="63"/>
    </row>
    <row r="68" spans="1:47" ht="15.75" customHeight="1" x14ac:dyDescent="0.2">
      <c r="A68" s="21">
        <v>63</v>
      </c>
      <c r="B68" s="21" t="s">
        <v>384</v>
      </c>
      <c r="C68" s="22"/>
      <c r="D68" s="23" t="s">
        <v>276</v>
      </c>
      <c r="E68" s="2">
        <v>38909999.999999993</v>
      </c>
      <c r="F68" s="2">
        <v>0</v>
      </c>
      <c r="G68" s="2">
        <v>0</v>
      </c>
      <c r="H68" s="2">
        <v>0</v>
      </c>
      <c r="I68" s="2">
        <v>0</v>
      </c>
      <c r="J68" s="2">
        <v>0</v>
      </c>
      <c r="K68" s="24">
        <v>0</v>
      </c>
      <c r="L68" s="25">
        <v>432000</v>
      </c>
      <c r="M68" s="25">
        <v>66000</v>
      </c>
      <c r="N68" s="25">
        <v>0</v>
      </c>
      <c r="O68" s="25">
        <v>91000</v>
      </c>
      <c r="P68" s="25">
        <v>589000</v>
      </c>
      <c r="R68" s="23" t="s">
        <v>281</v>
      </c>
      <c r="S68" s="2">
        <v>35600000</v>
      </c>
      <c r="T68" s="2">
        <v>0</v>
      </c>
      <c r="U68" s="2">
        <v>0</v>
      </c>
      <c r="V68" s="2">
        <v>0</v>
      </c>
      <c r="W68" s="2">
        <v>0</v>
      </c>
      <c r="X68" s="2">
        <v>0</v>
      </c>
      <c r="Y68" s="26">
        <v>0</v>
      </c>
      <c r="Z68" s="2">
        <v>360000</v>
      </c>
      <c r="AA68" s="2">
        <v>71000</v>
      </c>
      <c r="AB68" s="2">
        <v>0</v>
      </c>
      <c r="AC68" s="2">
        <v>109000</v>
      </c>
      <c r="AD68" s="2">
        <v>540000</v>
      </c>
      <c r="AF68" s="23" t="s">
        <v>282</v>
      </c>
      <c r="AG68" s="2">
        <v>35600000</v>
      </c>
      <c r="AH68" s="2">
        <v>0</v>
      </c>
      <c r="AI68" s="2">
        <v>0</v>
      </c>
      <c r="AJ68" s="2">
        <v>0</v>
      </c>
      <c r="AK68" s="2">
        <v>0</v>
      </c>
      <c r="AL68" s="2">
        <v>0</v>
      </c>
      <c r="AM68" s="26">
        <v>0</v>
      </c>
      <c r="AN68" s="2">
        <v>360000</v>
      </c>
      <c r="AO68" s="2">
        <v>71000</v>
      </c>
      <c r="AP68" s="2">
        <v>0</v>
      </c>
      <c r="AQ68" s="2">
        <v>109000</v>
      </c>
      <c r="AR68" s="2">
        <v>540000</v>
      </c>
      <c r="AU68" s="63"/>
    </row>
    <row r="69" spans="1:47" ht="15.75" customHeight="1" x14ac:dyDescent="0.2">
      <c r="A69" s="21">
        <v>64</v>
      </c>
      <c r="B69" s="21" t="s">
        <v>396</v>
      </c>
      <c r="C69" s="22"/>
      <c r="D69" s="23" t="s">
        <v>276</v>
      </c>
      <c r="E69" s="2">
        <v>32950000.000000004</v>
      </c>
      <c r="F69" s="2">
        <v>6048000</v>
      </c>
      <c r="G69" s="2">
        <v>55000</v>
      </c>
      <c r="H69" s="2">
        <v>0</v>
      </c>
      <c r="I69" s="2">
        <v>0</v>
      </c>
      <c r="J69" s="2">
        <v>6103000</v>
      </c>
      <c r="K69" s="24">
        <v>18.522694917908556</v>
      </c>
      <c r="L69" s="25">
        <v>8559000</v>
      </c>
      <c r="M69" s="25">
        <v>26000</v>
      </c>
      <c r="N69" s="25">
        <v>0</v>
      </c>
      <c r="O69" s="25">
        <v>0</v>
      </c>
      <c r="P69" s="25">
        <v>8585000</v>
      </c>
      <c r="R69" s="23" t="s">
        <v>281</v>
      </c>
      <c r="S69" s="2">
        <v>33400000</v>
      </c>
      <c r="T69" s="2">
        <v>7297000</v>
      </c>
      <c r="U69" s="2">
        <v>68000</v>
      </c>
      <c r="V69" s="2">
        <v>0</v>
      </c>
      <c r="W69" s="2">
        <v>0</v>
      </c>
      <c r="X69" s="2">
        <v>7365000</v>
      </c>
      <c r="Y69" s="26">
        <v>0.22050898203592814</v>
      </c>
      <c r="Z69" s="2">
        <v>8513000</v>
      </c>
      <c r="AA69" s="2">
        <v>30000</v>
      </c>
      <c r="AB69" s="2">
        <v>0</v>
      </c>
      <c r="AC69" s="2">
        <v>0</v>
      </c>
      <c r="AD69" s="2">
        <v>8543000</v>
      </c>
      <c r="AF69" s="23" t="s">
        <v>282</v>
      </c>
      <c r="AG69" s="2">
        <v>26300000</v>
      </c>
      <c r="AH69" s="2">
        <v>7469000</v>
      </c>
      <c r="AI69" s="2">
        <v>81000</v>
      </c>
      <c r="AJ69" s="2">
        <v>0</v>
      </c>
      <c r="AK69" s="2">
        <v>0</v>
      </c>
      <c r="AL69" s="2">
        <v>7550000</v>
      </c>
      <c r="AM69" s="26">
        <v>0.28707224334600762</v>
      </c>
      <c r="AN69" s="2">
        <v>8519000</v>
      </c>
      <c r="AO69" s="2">
        <v>38000</v>
      </c>
      <c r="AP69" s="2">
        <v>0</v>
      </c>
      <c r="AQ69" s="2">
        <v>0</v>
      </c>
      <c r="AR69" s="2">
        <v>8557000</v>
      </c>
      <c r="AU69" s="63"/>
    </row>
    <row r="70" spans="1:47" ht="15.75" customHeight="1" x14ac:dyDescent="0.2">
      <c r="A70" s="21">
        <v>65</v>
      </c>
      <c r="B70" s="21" t="s">
        <v>384</v>
      </c>
      <c r="C70" s="22"/>
      <c r="D70" s="23" t="s">
        <v>276</v>
      </c>
      <c r="E70" s="2">
        <v>40930000</v>
      </c>
      <c r="F70" s="2">
        <v>0</v>
      </c>
      <c r="G70" s="2">
        <v>0</v>
      </c>
      <c r="H70" s="2">
        <v>710000</v>
      </c>
      <c r="I70" s="2">
        <v>0</v>
      </c>
      <c r="J70" s="2">
        <v>710000</v>
      </c>
      <c r="K70" s="24">
        <v>1.7346689469826533</v>
      </c>
      <c r="L70" s="25">
        <v>72513000</v>
      </c>
      <c r="M70" s="25">
        <v>40000</v>
      </c>
      <c r="N70" s="25">
        <v>0</v>
      </c>
      <c r="O70" s="25">
        <v>0</v>
      </c>
      <c r="P70" s="25">
        <v>72553000</v>
      </c>
      <c r="R70" s="23" t="s">
        <v>281</v>
      </c>
      <c r="S70" s="2">
        <v>41500000</v>
      </c>
      <c r="T70" s="2">
        <v>0</v>
      </c>
      <c r="U70" s="2">
        <v>0</v>
      </c>
      <c r="V70" s="2">
        <v>769000</v>
      </c>
      <c r="W70" s="2">
        <v>0</v>
      </c>
      <c r="X70" s="2">
        <v>769000</v>
      </c>
      <c r="Y70" s="26">
        <v>1.853012048192771E-2</v>
      </c>
      <c r="Z70" s="2">
        <v>72465000</v>
      </c>
      <c r="AA70" s="2">
        <v>46000</v>
      </c>
      <c r="AB70" s="2">
        <v>0</v>
      </c>
      <c r="AC70" s="2">
        <v>0</v>
      </c>
      <c r="AD70" s="2">
        <v>72511000</v>
      </c>
      <c r="AF70" s="23" t="s">
        <v>282</v>
      </c>
      <c r="AG70" s="2">
        <v>32000000</v>
      </c>
      <c r="AH70" s="2">
        <v>0</v>
      </c>
      <c r="AI70" s="2">
        <v>0</v>
      </c>
      <c r="AJ70" s="2">
        <v>769000</v>
      </c>
      <c r="AK70" s="2">
        <v>0</v>
      </c>
      <c r="AL70" s="2">
        <v>769000</v>
      </c>
      <c r="AM70" s="26">
        <v>2.4031250000000001E-2</v>
      </c>
      <c r="AN70" s="2">
        <v>72477000</v>
      </c>
      <c r="AO70" s="2">
        <v>58000</v>
      </c>
      <c r="AP70" s="2">
        <v>0</v>
      </c>
      <c r="AQ70" s="2">
        <v>0</v>
      </c>
      <c r="AR70" s="2">
        <v>72535000</v>
      </c>
      <c r="AU70" s="63"/>
    </row>
    <row r="71" spans="1:47" ht="15.75" customHeight="1" x14ac:dyDescent="0.2">
      <c r="A71" s="21">
        <v>66</v>
      </c>
      <c r="B71" s="21" t="s">
        <v>397</v>
      </c>
      <c r="C71" s="22"/>
      <c r="D71" s="23" t="s">
        <v>276</v>
      </c>
      <c r="E71" s="2">
        <v>26470000</v>
      </c>
      <c r="F71" s="2">
        <v>942000</v>
      </c>
      <c r="G71" s="2">
        <v>144000</v>
      </c>
      <c r="H71" s="2">
        <v>943000</v>
      </c>
      <c r="I71" s="2">
        <v>27000</v>
      </c>
      <c r="J71" s="2">
        <v>2056000</v>
      </c>
      <c r="K71" s="24">
        <v>7.7670329962874973</v>
      </c>
      <c r="L71" s="25">
        <v>5610000</v>
      </c>
      <c r="M71" s="25">
        <v>732000</v>
      </c>
      <c r="N71" s="25">
        <v>0</v>
      </c>
      <c r="O71" s="25">
        <v>0</v>
      </c>
      <c r="P71" s="25">
        <v>6342000</v>
      </c>
      <c r="R71" s="23" t="s">
        <v>281</v>
      </c>
      <c r="S71" s="2">
        <v>26300000</v>
      </c>
      <c r="T71" s="2">
        <v>908000</v>
      </c>
      <c r="U71" s="2">
        <v>165000</v>
      </c>
      <c r="V71" s="2">
        <v>1021000</v>
      </c>
      <c r="W71" s="2">
        <v>37000</v>
      </c>
      <c r="X71" s="2">
        <v>2131000</v>
      </c>
      <c r="Y71" s="26">
        <v>8.1026615969581745E-2</v>
      </c>
      <c r="Z71" s="2">
        <v>5934000</v>
      </c>
      <c r="AA71" s="2">
        <v>822000</v>
      </c>
      <c r="AB71" s="2">
        <v>0</v>
      </c>
      <c r="AC71" s="2">
        <v>0</v>
      </c>
      <c r="AD71" s="2">
        <v>6756000</v>
      </c>
      <c r="AF71" s="23" t="s">
        <v>282</v>
      </c>
      <c r="AG71" s="2">
        <v>21500000</v>
      </c>
      <c r="AH71" s="2">
        <v>910000</v>
      </c>
      <c r="AI71" s="2">
        <v>154000</v>
      </c>
      <c r="AJ71" s="2">
        <v>1021000</v>
      </c>
      <c r="AK71" s="2">
        <v>27000</v>
      </c>
      <c r="AL71" s="2">
        <v>2112000</v>
      </c>
      <c r="AM71" s="26">
        <v>9.8232558139534881E-2</v>
      </c>
      <c r="AN71" s="2">
        <v>5946000</v>
      </c>
      <c r="AO71" s="2">
        <v>746000</v>
      </c>
      <c r="AP71" s="2">
        <v>0</v>
      </c>
      <c r="AQ71" s="2">
        <v>0</v>
      </c>
      <c r="AR71" s="2">
        <v>6692000</v>
      </c>
      <c r="AU71" s="63"/>
    </row>
    <row r="72" spans="1:47" ht="15.75" customHeight="1" x14ac:dyDescent="0.2">
      <c r="A72" s="21">
        <v>67</v>
      </c>
      <c r="B72" s="21" t="s">
        <v>171</v>
      </c>
      <c r="C72" s="22"/>
      <c r="D72" s="23" t="s">
        <v>276</v>
      </c>
      <c r="E72" s="2">
        <v>77080000</v>
      </c>
      <c r="F72" s="2">
        <v>157000</v>
      </c>
      <c r="G72" s="2">
        <v>32000</v>
      </c>
      <c r="H72" s="2">
        <v>0</v>
      </c>
      <c r="I72" s="2">
        <v>0</v>
      </c>
      <c r="J72" s="2">
        <v>190000</v>
      </c>
      <c r="K72" s="24">
        <v>0.24600809776683924</v>
      </c>
      <c r="L72" s="25">
        <v>2895000</v>
      </c>
      <c r="M72" s="25">
        <v>596000</v>
      </c>
      <c r="N72" s="25">
        <v>0</v>
      </c>
      <c r="O72" s="25">
        <v>0</v>
      </c>
      <c r="P72" s="25">
        <v>3491000</v>
      </c>
      <c r="R72" s="23" t="s">
        <v>281</v>
      </c>
      <c r="S72" s="2">
        <v>71900000</v>
      </c>
      <c r="T72" s="2">
        <v>165000</v>
      </c>
      <c r="U72" s="2">
        <v>39000</v>
      </c>
      <c r="V72" s="2">
        <v>0</v>
      </c>
      <c r="W72" s="2">
        <v>0</v>
      </c>
      <c r="X72" s="2">
        <v>204000</v>
      </c>
      <c r="Y72" s="26">
        <v>2.8372739916550766E-3</v>
      </c>
      <c r="Z72" s="2">
        <v>2617000</v>
      </c>
      <c r="AA72" s="2">
        <v>721000</v>
      </c>
      <c r="AB72" s="2">
        <v>0</v>
      </c>
      <c r="AC72" s="2">
        <v>0</v>
      </c>
      <c r="AD72" s="2">
        <v>3338000</v>
      </c>
      <c r="AF72" s="23" t="s">
        <v>282</v>
      </c>
      <c r="AG72" s="2">
        <v>54000000</v>
      </c>
      <c r="AH72" s="2">
        <v>170000</v>
      </c>
      <c r="AI72" s="2">
        <v>47000</v>
      </c>
      <c r="AJ72" s="2">
        <v>0</v>
      </c>
      <c r="AK72" s="2">
        <v>0</v>
      </c>
      <c r="AL72" s="2">
        <v>217000</v>
      </c>
      <c r="AM72" s="26">
        <v>4.0185185185185185E-3</v>
      </c>
      <c r="AN72" s="2">
        <v>2667000</v>
      </c>
      <c r="AO72" s="2">
        <v>874000</v>
      </c>
      <c r="AP72" s="2">
        <v>0</v>
      </c>
      <c r="AQ72" s="2">
        <v>0</v>
      </c>
      <c r="AR72" s="2">
        <v>3541000</v>
      </c>
      <c r="AU72" s="63"/>
    </row>
    <row r="73" spans="1:47" ht="15.75" customHeight="1" x14ac:dyDescent="0.2">
      <c r="A73" s="21">
        <v>68</v>
      </c>
      <c r="B73" s="21" t="s">
        <v>398</v>
      </c>
      <c r="C73" s="22"/>
      <c r="D73" s="23" t="s">
        <v>276</v>
      </c>
      <c r="E73" s="2">
        <v>23980000</v>
      </c>
      <c r="F73" s="2">
        <v>4218000</v>
      </c>
      <c r="G73" s="2">
        <v>20000</v>
      </c>
      <c r="H73" s="2">
        <v>169000</v>
      </c>
      <c r="I73" s="2">
        <v>2000</v>
      </c>
      <c r="J73" s="2">
        <v>4408000</v>
      </c>
      <c r="K73" s="24">
        <v>18.383164682505733</v>
      </c>
      <c r="L73" s="25">
        <v>2046000</v>
      </c>
      <c r="M73" s="25">
        <v>124000</v>
      </c>
      <c r="N73" s="25">
        <v>0</v>
      </c>
      <c r="O73" s="25">
        <v>0</v>
      </c>
      <c r="P73" s="25">
        <v>2169000</v>
      </c>
      <c r="R73" s="23" t="s">
        <v>281</v>
      </c>
      <c r="S73" s="2">
        <v>24800000</v>
      </c>
      <c r="T73" s="2">
        <v>4280000</v>
      </c>
      <c r="U73" s="2">
        <v>23000</v>
      </c>
      <c r="V73" s="2">
        <v>1601000</v>
      </c>
      <c r="W73" s="2">
        <v>3000</v>
      </c>
      <c r="X73" s="2">
        <v>5907000</v>
      </c>
      <c r="Y73" s="26">
        <v>0.23818548387096775</v>
      </c>
      <c r="Z73" s="2">
        <v>1997000</v>
      </c>
      <c r="AA73" s="2">
        <v>144000</v>
      </c>
      <c r="AB73" s="2">
        <v>0</v>
      </c>
      <c r="AC73" s="2">
        <v>0</v>
      </c>
      <c r="AD73" s="2">
        <v>2141000</v>
      </c>
      <c r="AF73" s="23" t="s">
        <v>282</v>
      </c>
      <c r="AG73" s="2">
        <v>20500000</v>
      </c>
      <c r="AH73" s="2">
        <v>4441000</v>
      </c>
      <c r="AI73" s="2">
        <v>29000</v>
      </c>
      <c r="AJ73" s="2">
        <v>1601000</v>
      </c>
      <c r="AK73" s="2">
        <v>3000</v>
      </c>
      <c r="AL73" s="2">
        <v>6074000</v>
      </c>
      <c r="AM73" s="26">
        <v>0.29629268292682925</v>
      </c>
      <c r="AN73" s="2">
        <v>2034000</v>
      </c>
      <c r="AO73" s="2">
        <v>183000</v>
      </c>
      <c r="AP73" s="2">
        <v>0</v>
      </c>
      <c r="AQ73" s="2">
        <v>0</v>
      </c>
      <c r="AR73" s="2">
        <v>2217000</v>
      </c>
      <c r="AU73" s="63"/>
    </row>
    <row r="74" spans="1:47" ht="15.75" customHeight="1" x14ac:dyDescent="0.2">
      <c r="A74" s="21">
        <v>69</v>
      </c>
      <c r="B74" s="21" t="s">
        <v>169</v>
      </c>
      <c r="C74" s="22"/>
      <c r="D74" s="23" t="s">
        <v>276</v>
      </c>
      <c r="E74" s="2">
        <v>22010000</v>
      </c>
      <c r="F74" s="2">
        <v>59000</v>
      </c>
      <c r="G74" s="2">
        <v>5000</v>
      </c>
      <c r="H74" s="2">
        <v>738000</v>
      </c>
      <c r="I74" s="2">
        <v>13000</v>
      </c>
      <c r="J74" s="2">
        <v>814000</v>
      </c>
      <c r="K74" s="24">
        <v>3.700336261282311</v>
      </c>
      <c r="L74" s="25">
        <v>2666000</v>
      </c>
      <c r="M74" s="25">
        <v>217000</v>
      </c>
      <c r="N74" s="25">
        <v>0</v>
      </c>
      <c r="O74" s="25">
        <v>100000</v>
      </c>
      <c r="P74" s="25">
        <v>2983000</v>
      </c>
      <c r="R74" s="23" t="s">
        <v>281</v>
      </c>
      <c r="S74" s="2">
        <v>22900000</v>
      </c>
      <c r="T74" s="2">
        <v>0</v>
      </c>
      <c r="U74" s="2">
        <v>6000</v>
      </c>
      <c r="V74" s="2">
        <v>799000</v>
      </c>
      <c r="W74" s="2">
        <v>17000</v>
      </c>
      <c r="X74" s="2">
        <v>822000</v>
      </c>
      <c r="Y74" s="26">
        <v>3.5895196506550216E-2</v>
      </c>
      <c r="Z74" s="2">
        <v>2519000</v>
      </c>
      <c r="AA74" s="2">
        <v>259000</v>
      </c>
      <c r="AB74" s="2">
        <v>0</v>
      </c>
      <c r="AC74" s="2">
        <v>153000</v>
      </c>
      <c r="AD74" s="2">
        <v>2931000</v>
      </c>
      <c r="AF74" s="23" t="s">
        <v>282</v>
      </c>
      <c r="AG74" s="2">
        <v>18100000</v>
      </c>
      <c r="AH74" s="2">
        <v>0</v>
      </c>
      <c r="AI74" s="2">
        <v>7000</v>
      </c>
      <c r="AJ74" s="2">
        <v>799000</v>
      </c>
      <c r="AK74" s="2">
        <v>19000</v>
      </c>
      <c r="AL74" s="2">
        <v>825000</v>
      </c>
      <c r="AM74" s="26">
        <v>4.5580110497237571E-2</v>
      </c>
      <c r="AN74" s="2">
        <v>2561000</v>
      </c>
      <c r="AO74" s="2">
        <v>321000</v>
      </c>
      <c r="AP74" s="2">
        <v>0</v>
      </c>
      <c r="AQ74" s="2">
        <v>167000</v>
      </c>
      <c r="AR74" s="2">
        <v>3049000</v>
      </c>
      <c r="AU74" s="63"/>
    </row>
    <row r="75" spans="1:47" ht="15.75" customHeight="1" x14ac:dyDescent="0.2">
      <c r="A75" s="21">
        <v>70</v>
      </c>
      <c r="B75" s="21" t="s">
        <v>167</v>
      </c>
      <c r="C75" s="22"/>
      <c r="D75" s="23" t="s">
        <v>276</v>
      </c>
      <c r="E75" s="2">
        <v>53230000</v>
      </c>
      <c r="F75" s="2">
        <v>218000</v>
      </c>
      <c r="G75" s="2">
        <v>16000</v>
      </c>
      <c r="H75" s="2">
        <v>0</v>
      </c>
      <c r="I75" s="2">
        <v>0</v>
      </c>
      <c r="J75" s="2">
        <v>234000</v>
      </c>
      <c r="K75" s="24">
        <v>0.43927993388992936</v>
      </c>
      <c r="L75" s="25">
        <v>8931000</v>
      </c>
      <c r="M75" s="25">
        <v>692000</v>
      </c>
      <c r="N75" s="25">
        <v>0</v>
      </c>
      <c r="O75" s="25">
        <v>0</v>
      </c>
      <c r="P75" s="25">
        <v>9623000</v>
      </c>
      <c r="R75" s="23" t="s">
        <v>281</v>
      </c>
      <c r="S75" s="2">
        <v>51900000</v>
      </c>
      <c r="T75" s="2">
        <v>140000</v>
      </c>
      <c r="U75" s="2">
        <v>19000</v>
      </c>
      <c r="V75" s="2">
        <v>0</v>
      </c>
      <c r="W75" s="2">
        <v>0</v>
      </c>
      <c r="X75" s="2">
        <v>159000</v>
      </c>
      <c r="Y75" s="26">
        <v>3.0635838150289019E-3</v>
      </c>
      <c r="Z75" s="2">
        <v>8683000</v>
      </c>
      <c r="AA75" s="2">
        <v>765000</v>
      </c>
      <c r="AB75" s="2">
        <v>0</v>
      </c>
      <c r="AC75" s="2">
        <v>0</v>
      </c>
      <c r="AD75" s="2">
        <v>9448000</v>
      </c>
      <c r="AF75" s="23" t="s">
        <v>282</v>
      </c>
      <c r="AG75" s="2">
        <v>43000000</v>
      </c>
      <c r="AH75" s="2">
        <v>167000</v>
      </c>
      <c r="AI75" s="2">
        <v>24000</v>
      </c>
      <c r="AJ75" s="2">
        <v>0</v>
      </c>
      <c r="AK75" s="2">
        <v>0</v>
      </c>
      <c r="AL75" s="2">
        <v>191000</v>
      </c>
      <c r="AM75" s="26">
        <v>4.4418604651162794E-3</v>
      </c>
      <c r="AN75" s="2">
        <v>8774000</v>
      </c>
      <c r="AO75" s="2">
        <v>975000</v>
      </c>
      <c r="AP75" s="2">
        <v>0</v>
      </c>
      <c r="AQ75" s="2">
        <v>0</v>
      </c>
      <c r="AR75" s="2">
        <v>9749000</v>
      </c>
      <c r="AU75" s="63"/>
    </row>
    <row r="76" spans="1:47" ht="15.75" customHeight="1" x14ac:dyDescent="0.2">
      <c r="A76" s="21">
        <v>71</v>
      </c>
      <c r="B76" s="21" t="s">
        <v>399</v>
      </c>
      <c r="C76" s="22"/>
      <c r="D76" s="23" t="s">
        <v>276</v>
      </c>
      <c r="E76" s="2">
        <v>88240000</v>
      </c>
      <c r="F76" s="2">
        <v>642000</v>
      </c>
      <c r="G76" s="2">
        <v>198000</v>
      </c>
      <c r="H76" s="2">
        <v>2210000</v>
      </c>
      <c r="I76" s="2">
        <v>8000</v>
      </c>
      <c r="J76" s="2">
        <v>3058000</v>
      </c>
      <c r="K76" s="24">
        <v>3.4650342257920395</v>
      </c>
      <c r="L76" s="25">
        <v>5182000</v>
      </c>
      <c r="M76" s="25">
        <v>1472000</v>
      </c>
      <c r="N76" s="25">
        <v>0</v>
      </c>
      <c r="O76" s="25">
        <v>82000</v>
      </c>
      <c r="P76" s="25">
        <v>6736000</v>
      </c>
      <c r="R76" s="23" t="s">
        <v>281</v>
      </c>
      <c r="S76" s="2">
        <v>84100000</v>
      </c>
      <c r="T76" s="2">
        <v>360000</v>
      </c>
      <c r="U76" s="2">
        <v>220000</v>
      </c>
      <c r="V76" s="2">
        <v>2394000</v>
      </c>
      <c r="W76" s="2">
        <v>9000</v>
      </c>
      <c r="X76" s="2">
        <v>2983000</v>
      </c>
      <c r="Y76" s="26">
        <v>3.5469678953626634E-2</v>
      </c>
      <c r="Z76" s="2">
        <v>4760000</v>
      </c>
      <c r="AA76" s="2">
        <v>1700000</v>
      </c>
      <c r="AB76" s="2">
        <v>0</v>
      </c>
      <c r="AC76" s="2">
        <v>126000</v>
      </c>
      <c r="AD76" s="2">
        <v>6586000</v>
      </c>
      <c r="AF76" s="23" t="s">
        <v>282</v>
      </c>
      <c r="AG76" s="2">
        <v>66100000</v>
      </c>
      <c r="AH76" s="2">
        <v>435000</v>
      </c>
      <c r="AI76" s="2">
        <v>295000</v>
      </c>
      <c r="AJ76" s="2">
        <v>2394000</v>
      </c>
      <c r="AK76" s="2">
        <v>10000</v>
      </c>
      <c r="AL76" s="2">
        <v>3134000</v>
      </c>
      <c r="AM76" s="26">
        <v>4.7413010590015126E-2</v>
      </c>
      <c r="AN76" s="2">
        <v>4834000</v>
      </c>
      <c r="AO76" s="2">
        <v>2226000</v>
      </c>
      <c r="AP76" s="2">
        <v>0</v>
      </c>
      <c r="AQ76" s="2">
        <v>137000</v>
      </c>
      <c r="AR76" s="2">
        <v>7197000</v>
      </c>
      <c r="AU76" s="63"/>
    </row>
    <row r="77" spans="1:47" ht="15.75" customHeight="1" x14ac:dyDescent="0.2">
      <c r="A77" s="21">
        <v>72</v>
      </c>
      <c r="B77" s="21" t="s">
        <v>400</v>
      </c>
      <c r="C77" s="22"/>
      <c r="D77" s="23" t="s">
        <v>276</v>
      </c>
      <c r="E77" s="2">
        <v>75430000</v>
      </c>
      <c r="F77" s="2">
        <v>3435000</v>
      </c>
      <c r="G77" s="2">
        <v>77000</v>
      </c>
      <c r="H77" s="2">
        <v>1249000</v>
      </c>
      <c r="I77" s="2">
        <v>32000</v>
      </c>
      <c r="J77" s="2">
        <v>4794000</v>
      </c>
      <c r="K77" s="24">
        <v>6.355428255971705</v>
      </c>
      <c r="L77" s="25">
        <v>1585000</v>
      </c>
      <c r="M77" s="25">
        <v>272000</v>
      </c>
      <c r="N77" s="25">
        <v>0</v>
      </c>
      <c r="O77" s="25">
        <v>0</v>
      </c>
      <c r="P77" s="25">
        <v>1857000</v>
      </c>
      <c r="R77" s="23" t="s">
        <v>281</v>
      </c>
      <c r="S77" s="2">
        <v>73100000</v>
      </c>
      <c r="T77" s="2">
        <v>3652000</v>
      </c>
      <c r="U77" s="2">
        <v>138000</v>
      </c>
      <c r="V77" s="2">
        <v>1353000</v>
      </c>
      <c r="W77" s="2">
        <v>0</v>
      </c>
      <c r="X77" s="2">
        <v>5143000</v>
      </c>
      <c r="Y77" s="26">
        <v>7.0355677154582769E-2</v>
      </c>
      <c r="Z77" s="2">
        <v>1639000</v>
      </c>
      <c r="AA77" s="2">
        <v>187000</v>
      </c>
      <c r="AB77" s="2">
        <v>0</v>
      </c>
      <c r="AC77" s="2">
        <v>0</v>
      </c>
      <c r="AD77" s="2">
        <v>1826000</v>
      </c>
      <c r="AF77" s="23" t="s">
        <v>282</v>
      </c>
      <c r="AG77" s="2">
        <v>55300000</v>
      </c>
      <c r="AH77" s="2">
        <v>3767000</v>
      </c>
      <c r="AI77" s="2">
        <v>186000</v>
      </c>
      <c r="AJ77" s="2">
        <v>1353000</v>
      </c>
      <c r="AK77" s="2">
        <v>0</v>
      </c>
      <c r="AL77" s="2">
        <v>5306000</v>
      </c>
      <c r="AM77" s="26">
        <v>9.5949367088607601E-2</v>
      </c>
      <c r="AN77" s="2">
        <v>1673000</v>
      </c>
      <c r="AO77" s="2">
        <v>259000</v>
      </c>
      <c r="AP77" s="2">
        <v>0</v>
      </c>
      <c r="AQ77" s="2">
        <v>0</v>
      </c>
      <c r="AR77" s="2">
        <v>1932000</v>
      </c>
      <c r="AU77" s="63"/>
    </row>
    <row r="78" spans="1:47" ht="15.75" customHeight="1" x14ac:dyDescent="0.2">
      <c r="A78" s="21">
        <v>73</v>
      </c>
      <c r="B78" s="21" t="s">
        <v>401</v>
      </c>
      <c r="C78" s="22"/>
      <c r="D78" s="23" t="s">
        <v>276</v>
      </c>
      <c r="E78" s="2">
        <v>80870000</v>
      </c>
      <c r="F78" s="2">
        <v>7000</v>
      </c>
      <c r="G78" s="2">
        <v>0</v>
      </c>
      <c r="H78" s="2">
        <v>0</v>
      </c>
      <c r="I78" s="2">
        <v>0</v>
      </c>
      <c r="J78" s="2">
        <v>7000</v>
      </c>
      <c r="K78" s="24">
        <v>8.7703993155948054E-3</v>
      </c>
      <c r="L78" s="25">
        <v>5275000</v>
      </c>
      <c r="M78" s="25">
        <v>164000</v>
      </c>
      <c r="N78" s="25">
        <v>0</v>
      </c>
      <c r="O78" s="25">
        <v>26000</v>
      </c>
      <c r="P78" s="25">
        <v>5464000</v>
      </c>
      <c r="R78" s="23" t="s">
        <v>281</v>
      </c>
      <c r="S78" s="2">
        <v>68800000</v>
      </c>
      <c r="T78" s="2">
        <v>27000</v>
      </c>
      <c r="U78" s="2">
        <v>0</v>
      </c>
      <c r="V78" s="2">
        <v>0</v>
      </c>
      <c r="W78" s="2">
        <v>0</v>
      </c>
      <c r="X78" s="2">
        <v>27000</v>
      </c>
      <c r="Y78" s="26">
        <v>3.9244186046511631E-4</v>
      </c>
      <c r="Z78" s="2">
        <v>5080000</v>
      </c>
      <c r="AA78" s="2">
        <v>171000</v>
      </c>
      <c r="AB78" s="2">
        <v>0</v>
      </c>
      <c r="AC78" s="2">
        <v>31000</v>
      </c>
      <c r="AD78" s="2">
        <v>5282000</v>
      </c>
      <c r="AF78" s="23" t="s">
        <v>282</v>
      </c>
      <c r="AG78" s="2">
        <v>57900000</v>
      </c>
      <c r="AH78" s="2">
        <v>58000</v>
      </c>
      <c r="AI78" s="2">
        <v>0</v>
      </c>
      <c r="AJ78" s="2">
        <v>0</v>
      </c>
      <c r="AK78" s="2">
        <v>0</v>
      </c>
      <c r="AL78" s="2">
        <v>58000</v>
      </c>
      <c r="AM78" s="26">
        <v>1.001727115716753E-3</v>
      </c>
      <c r="AN78" s="2">
        <v>5133000</v>
      </c>
      <c r="AO78" s="2">
        <v>238000</v>
      </c>
      <c r="AP78" s="2">
        <v>0</v>
      </c>
      <c r="AQ78" s="2">
        <v>43000</v>
      </c>
      <c r="AR78" s="2">
        <v>5414000</v>
      </c>
      <c r="AU78" s="63"/>
    </row>
    <row r="79" spans="1:47" ht="15.75" customHeight="1" x14ac:dyDescent="0.2">
      <c r="A79" s="21">
        <v>74</v>
      </c>
      <c r="B79" s="21" t="s">
        <v>402</v>
      </c>
      <c r="C79" s="22"/>
      <c r="D79" s="23" t="s">
        <v>276</v>
      </c>
      <c r="E79" s="2">
        <v>100350000</v>
      </c>
      <c r="F79" s="2">
        <v>9733000</v>
      </c>
      <c r="G79" s="2">
        <v>387000</v>
      </c>
      <c r="H79" s="2">
        <v>8615000</v>
      </c>
      <c r="I79" s="2">
        <v>212000</v>
      </c>
      <c r="J79" s="2">
        <v>18947000</v>
      </c>
      <c r="K79" s="24">
        <v>18.880587496749673</v>
      </c>
      <c r="L79" s="25">
        <v>5406000</v>
      </c>
      <c r="M79" s="25">
        <v>933000</v>
      </c>
      <c r="N79" s="25">
        <v>0</v>
      </c>
      <c r="O79" s="25">
        <v>14000</v>
      </c>
      <c r="P79" s="25">
        <v>6354000</v>
      </c>
      <c r="R79" s="23" t="s">
        <v>281</v>
      </c>
      <c r="S79" s="2">
        <v>97400000</v>
      </c>
      <c r="T79" s="2">
        <v>10137000</v>
      </c>
      <c r="U79" s="2">
        <v>404000</v>
      </c>
      <c r="V79" s="2">
        <v>9332000</v>
      </c>
      <c r="W79" s="2">
        <v>283000</v>
      </c>
      <c r="X79" s="2">
        <v>20156000</v>
      </c>
      <c r="Y79" s="26">
        <v>0.20694045174537987</v>
      </c>
      <c r="Z79" s="2">
        <v>5290000</v>
      </c>
      <c r="AA79" s="2">
        <v>1001000</v>
      </c>
      <c r="AB79" s="2">
        <v>0</v>
      </c>
      <c r="AC79" s="2">
        <v>22000</v>
      </c>
      <c r="AD79" s="2">
        <v>6313000</v>
      </c>
      <c r="AF79" s="23" t="s">
        <v>282</v>
      </c>
      <c r="AG79" s="2">
        <v>67600000</v>
      </c>
      <c r="AH79" s="2">
        <v>10451000</v>
      </c>
      <c r="AI79" s="2">
        <v>530000</v>
      </c>
      <c r="AJ79" s="2">
        <v>9332000</v>
      </c>
      <c r="AK79" s="2">
        <v>312000</v>
      </c>
      <c r="AL79" s="2">
        <v>20625000</v>
      </c>
      <c r="AM79" s="26">
        <v>0.30510355029585801</v>
      </c>
      <c r="AN79" s="2">
        <v>5382000</v>
      </c>
      <c r="AO79" s="2">
        <v>1299000</v>
      </c>
      <c r="AP79" s="2">
        <v>0</v>
      </c>
      <c r="AQ79" s="2">
        <v>24000</v>
      </c>
      <c r="AR79" s="2">
        <v>6705000</v>
      </c>
      <c r="AU79" s="63"/>
    </row>
    <row r="80" spans="1:47" ht="15.75" customHeight="1" x14ac:dyDescent="0.2">
      <c r="A80" s="21">
        <v>75</v>
      </c>
      <c r="B80" s="21" t="s">
        <v>403</v>
      </c>
      <c r="C80" s="22"/>
      <c r="D80" s="23" t="s">
        <v>276</v>
      </c>
      <c r="E80" s="2">
        <v>86320000</v>
      </c>
      <c r="F80" s="2">
        <v>1866000</v>
      </c>
      <c r="G80" s="2">
        <v>181000</v>
      </c>
      <c r="H80" s="2">
        <v>11198000</v>
      </c>
      <c r="I80" s="2">
        <v>258000</v>
      </c>
      <c r="J80" s="2">
        <v>13503000</v>
      </c>
      <c r="K80" s="24">
        <v>15.642401873797699</v>
      </c>
      <c r="L80" s="25">
        <v>5369000</v>
      </c>
      <c r="M80" s="25">
        <v>402000</v>
      </c>
      <c r="N80" s="25">
        <v>0</v>
      </c>
      <c r="O80" s="25">
        <v>54000</v>
      </c>
      <c r="P80" s="25">
        <v>5824000</v>
      </c>
      <c r="R80" s="23" t="s">
        <v>281</v>
      </c>
      <c r="S80" s="2">
        <v>79700000</v>
      </c>
      <c r="T80" s="2">
        <v>2204000</v>
      </c>
      <c r="U80" s="2">
        <v>185000</v>
      </c>
      <c r="V80" s="2">
        <v>12129000</v>
      </c>
      <c r="W80" s="2">
        <v>377000</v>
      </c>
      <c r="X80" s="2">
        <v>14895000</v>
      </c>
      <c r="Y80" s="26">
        <v>0.18688833124215809</v>
      </c>
      <c r="Z80" s="2">
        <v>5115000</v>
      </c>
      <c r="AA80" s="2">
        <v>460000</v>
      </c>
      <c r="AB80" s="2">
        <v>0</v>
      </c>
      <c r="AC80" s="2">
        <v>82000</v>
      </c>
      <c r="AD80" s="2">
        <v>5657000</v>
      </c>
      <c r="AF80" s="23" t="s">
        <v>282</v>
      </c>
      <c r="AG80" s="2">
        <v>55300000</v>
      </c>
      <c r="AH80" s="2">
        <v>2432000</v>
      </c>
      <c r="AI80" s="2">
        <v>228000</v>
      </c>
      <c r="AJ80" s="2">
        <v>12129000</v>
      </c>
      <c r="AK80" s="2">
        <v>412000</v>
      </c>
      <c r="AL80" s="2">
        <v>15201000</v>
      </c>
      <c r="AM80" s="26">
        <v>0.27488245931283906</v>
      </c>
      <c r="AN80" s="2">
        <v>5211000</v>
      </c>
      <c r="AO80" s="2">
        <v>582000</v>
      </c>
      <c r="AP80" s="2">
        <v>0</v>
      </c>
      <c r="AQ80" s="2">
        <v>89000</v>
      </c>
      <c r="AR80" s="2">
        <v>5882000</v>
      </c>
      <c r="AU80" s="63"/>
    </row>
    <row r="81" spans="1:47" ht="15.75" customHeight="1" x14ac:dyDescent="0.2">
      <c r="A81" s="21">
        <v>76</v>
      </c>
      <c r="B81" s="21" t="s">
        <v>404</v>
      </c>
      <c r="C81" s="22"/>
      <c r="D81" s="23" t="s">
        <v>276</v>
      </c>
      <c r="E81" s="2">
        <v>8430000</v>
      </c>
      <c r="F81" s="2">
        <v>4290000</v>
      </c>
      <c r="G81" s="2">
        <v>606000</v>
      </c>
      <c r="H81" s="2">
        <v>201000</v>
      </c>
      <c r="I81" s="2">
        <v>23000</v>
      </c>
      <c r="J81" s="2">
        <v>5120000</v>
      </c>
      <c r="K81" s="24">
        <v>60.737787147085754</v>
      </c>
      <c r="L81" s="25">
        <v>551000</v>
      </c>
      <c r="M81" s="25">
        <v>7000</v>
      </c>
      <c r="N81" s="25">
        <v>0</v>
      </c>
      <c r="O81" s="25">
        <v>0</v>
      </c>
      <c r="P81" s="25">
        <v>558000</v>
      </c>
      <c r="R81" s="23" t="s">
        <v>281</v>
      </c>
      <c r="S81" s="2">
        <v>10500000</v>
      </c>
      <c r="T81" s="2">
        <v>5278000</v>
      </c>
      <c r="U81" s="2">
        <v>2413000</v>
      </c>
      <c r="V81" s="2">
        <v>218000</v>
      </c>
      <c r="W81" s="2">
        <v>0</v>
      </c>
      <c r="X81" s="2">
        <v>7909000</v>
      </c>
      <c r="Y81" s="26">
        <v>0.75323809523809526</v>
      </c>
      <c r="Z81" s="2">
        <v>561000</v>
      </c>
      <c r="AA81" s="2">
        <v>7000</v>
      </c>
      <c r="AB81" s="2">
        <v>0</v>
      </c>
      <c r="AC81" s="2">
        <v>0</v>
      </c>
      <c r="AD81" s="2">
        <v>568000</v>
      </c>
      <c r="AF81" s="23" t="s">
        <v>282</v>
      </c>
      <c r="AG81" s="2">
        <v>9400000</v>
      </c>
      <c r="AH81" s="2">
        <v>5373000</v>
      </c>
      <c r="AI81" s="2">
        <v>2448000</v>
      </c>
      <c r="AJ81" s="2">
        <v>218000</v>
      </c>
      <c r="AK81" s="2">
        <v>0</v>
      </c>
      <c r="AL81" s="2">
        <v>8039000</v>
      </c>
      <c r="AM81" s="26">
        <v>0.85521276595744677</v>
      </c>
      <c r="AN81" s="2">
        <v>563000</v>
      </c>
      <c r="AO81" s="2">
        <v>11000</v>
      </c>
      <c r="AP81" s="2">
        <v>0</v>
      </c>
      <c r="AQ81" s="2">
        <v>0</v>
      </c>
      <c r="AR81" s="2">
        <v>574000</v>
      </c>
      <c r="AU81" s="63"/>
    </row>
    <row r="82" spans="1:47" ht="15.75" customHeight="1" x14ac:dyDescent="0.2">
      <c r="A82" s="21">
        <v>78</v>
      </c>
      <c r="B82" s="21" t="s">
        <v>405</v>
      </c>
      <c r="C82" s="22"/>
      <c r="D82" s="23" t="s">
        <v>276</v>
      </c>
      <c r="E82" s="2">
        <v>157410000</v>
      </c>
      <c r="F82" s="2">
        <v>84000</v>
      </c>
      <c r="G82" s="2">
        <v>15000</v>
      </c>
      <c r="H82" s="2">
        <v>6370000</v>
      </c>
      <c r="I82" s="2">
        <v>85000</v>
      </c>
      <c r="J82" s="2">
        <v>6554000</v>
      </c>
      <c r="K82" s="24">
        <v>4.163772422007586</v>
      </c>
      <c r="L82" s="25">
        <v>5395000</v>
      </c>
      <c r="M82" s="25">
        <v>562000</v>
      </c>
      <c r="N82" s="25">
        <v>0</v>
      </c>
      <c r="O82" s="25">
        <v>16000</v>
      </c>
      <c r="P82" s="25">
        <v>5973000</v>
      </c>
      <c r="R82" s="23" t="s">
        <v>281</v>
      </c>
      <c r="S82" s="2">
        <v>147700000</v>
      </c>
      <c r="T82" s="2">
        <v>60000</v>
      </c>
      <c r="U82" s="2">
        <v>13000</v>
      </c>
      <c r="V82" s="2">
        <v>6900000</v>
      </c>
      <c r="W82" s="2">
        <v>114000</v>
      </c>
      <c r="X82" s="2">
        <v>7087000</v>
      </c>
      <c r="Y82" s="26">
        <v>4.7982396750169264E-2</v>
      </c>
      <c r="Z82" s="2">
        <v>5114000</v>
      </c>
      <c r="AA82" s="2">
        <v>576000</v>
      </c>
      <c r="AB82" s="2">
        <v>0</v>
      </c>
      <c r="AC82" s="2">
        <v>20000</v>
      </c>
      <c r="AD82" s="2">
        <v>5710000</v>
      </c>
      <c r="AF82" s="23" t="s">
        <v>282</v>
      </c>
      <c r="AG82" s="2">
        <v>105700000</v>
      </c>
      <c r="AH82" s="2">
        <v>65000</v>
      </c>
      <c r="AI82" s="2">
        <v>17000</v>
      </c>
      <c r="AJ82" s="2">
        <v>6900000</v>
      </c>
      <c r="AK82" s="2">
        <v>125000</v>
      </c>
      <c r="AL82" s="2">
        <v>7107000</v>
      </c>
      <c r="AM82" s="26">
        <v>6.723746452223274E-2</v>
      </c>
      <c r="AN82" s="2">
        <v>5197000</v>
      </c>
      <c r="AO82" s="2">
        <v>721000</v>
      </c>
      <c r="AP82" s="2">
        <v>0</v>
      </c>
      <c r="AQ82" s="2">
        <v>21000</v>
      </c>
      <c r="AR82" s="2">
        <v>5939000</v>
      </c>
      <c r="AU82" s="63"/>
    </row>
    <row r="83" spans="1:47" ht="15.75" customHeight="1" x14ac:dyDescent="0.2">
      <c r="A83" s="21">
        <v>79</v>
      </c>
      <c r="B83" s="21" t="s">
        <v>406</v>
      </c>
      <c r="C83" s="22"/>
      <c r="D83" s="23" t="s">
        <v>276</v>
      </c>
      <c r="E83" s="2">
        <v>206160000</v>
      </c>
      <c r="F83" s="2">
        <v>254000</v>
      </c>
      <c r="G83" s="2">
        <v>29000</v>
      </c>
      <c r="H83" s="2">
        <v>401000</v>
      </c>
      <c r="I83" s="2">
        <v>3000</v>
      </c>
      <c r="J83" s="2">
        <v>687000</v>
      </c>
      <c r="K83" s="24">
        <v>0.33328013416460112</v>
      </c>
      <c r="L83" s="25">
        <v>5656000</v>
      </c>
      <c r="M83" s="25">
        <v>1393000</v>
      </c>
      <c r="N83" s="25">
        <v>0</v>
      </c>
      <c r="O83" s="25">
        <v>124000</v>
      </c>
      <c r="P83" s="25">
        <v>7174000</v>
      </c>
      <c r="R83" s="23" t="s">
        <v>281</v>
      </c>
      <c r="S83" s="2">
        <v>193900000</v>
      </c>
      <c r="T83" s="2">
        <v>199000</v>
      </c>
      <c r="U83" s="2">
        <v>34000</v>
      </c>
      <c r="V83" s="2">
        <v>434000</v>
      </c>
      <c r="W83" s="2">
        <v>4000</v>
      </c>
      <c r="X83" s="2">
        <v>671000</v>
      </c>
      <c r="Y83" s="26">
        <v>3.4605466735430634E-3</v>
      </c>
      <c r="Z83" s="2">
        <v>5204000</v>
      </c>
      <c r="AA83" s="2">
        <v>750000</v>
      </c>
      <c r="AB83" s="2">
        <v>0</v>
      </c>
      <c r="AC83" s="2">
        <v>182000</v>
      </c>
      <c r="AD83" s="2">
        <v>6136000</v>
      </c>
      <c r="AF83" s="23" t="s">
        <v>282</v>
      </c>
      <c r="AG83" s="2">
        <v>148700000</v>
      </c>
      <c r="AH83" s="2">
        <v>205000</v>
      </c>
      <c r="AI83" s="2">
        <v>43000</v>
      </c>
      <c r="AJ83" s="2">
        <v>434000</v>
      </c>
      <c r="AK83" s="2">
        <v>4000</v>
      </c>
      <c r="AL83" s="2">
        <v>686000</v>
      </c>
      <c r="AM83" s="26">
        <v>4.6133154001344991E-3</v>
      </c>
      <c r="AN83" s="2">
        <v>5306000</v>
      </c>
      <c r="AO83" s="2">
        <v>954000</v>
      </c>
      <c r="AP83" s="2">
        <v>0</v>
      </c>
      <c r="AQ83" s="2">
        <v>198000</v>
      </c>
      <c r="AR83" s="2">
        <v>6458000</v>
      </c>
      <c r="AU83" s="63"/>
    </row>
    <row r="84" spans="1:47" ht="15.75" customHeight="1" x14ac:dyDescent="0.2">
      <c r="A84" s="21">
        <v>80</v>
      </c>
      <c r="B84" s="21" t="s">
        <v>406</v>
      </c>
      <c r="C84" s="22"/>
      <c r="D84" s="23" t="s">
        <v>276</v>
      </c>
      <c r="E84" s="2">
        <v>64300000</v>
      </c>
      <c r="F84" s="2">
        <v>0</v>
      </c>
      <c r="G84" s="2">
        <v>0</v>
      </c>
      <c r="H84" s="2">
        <v>0</v>
      </c>
      <c r="I84" s="2">
        <v>0</v>
      </c>
      <c r="J84" s="2">
        <v>0</v>
      </c>
      <c r="K84" s="24">
        <v>0</v>
      </c>
      <c r="L84" s="25">
        <v>521000</v>
      </c>
      <c r="M84" s="25">
        <v>179000</v>
      </c>
      <c r="N84" s="25">
        <v>0</v>
      </c>
      <c r="O84" s="25">
        <v>192000</v>
      </c>
      <c r="P84" s="25">
        <v>893000</v>
      </c>
      <c r="R84" s="23" t="s">
        <v>281</v>
      </c>
      <c r="S84" s="2">
        <v>57900000</v>
      </c>
      <c r="T84" s="2">
        <v>0</v>
      </c>
      <c r="U84" s="2">
        <v>0</v>
      </c>
      <c r="V84" s="2">
        <v>0</v>
      </c>
      <c r="W84" s="2">
        <v>0</v>
      </c>
      <c r="X84" s="2">
        <v>0</v>
      </c>
      <c r="Y84" s="26">
        <v>0</v>
      </c>
      <c r="Z84" s="2">
        <v>449000</v>
      </c>
      <c r="AA84" s="2">
        <v>138000</v>
      </c>
      <c r="AB84" s="2">
        <v>0</v>
      </c>
      <c r="AC84" s="2">
        <v>192000</v>
      </c>
      <c r="AD84" s="2">
        <v>779000</v>
      </c>
      <c r="AF84" s="23" t="s">
        <v>282</v>
      </c>
      <c r="AG84" s="2">
        <v>57900000</v>
      </c>
      <c r="AH84" s="2">
        <v>0</v>
      </c>
      <c r="AI84" s="2">
        <v>0</v>
      </c>
      <c r="AJ84" s="2">
        <v>0</v>
      </c>
      <c r="AK84" s="2">
        <v>0</v>
      </c>
      <c r="AL84" s="2">
        <v>0</v>
      </c>
      <c r="AM84" s="26">
        <v>0</v>
      </c>
      <c r="AN84" s="2">
        <v>449000</v>
      </c>
      <c r="AO84" s="2">
        <v>138000</v>
      </c>
      <c r="AP84" s="2">
        <v>0</v>
      </c>
      <c r="AQ84" s="2">
        <v>192000</v>
      </c>
      <c r="AR84" s="2">
        <v>779000</v>
      </c>
      <c r="AU84" s="63"/>
    </row>
    <row r="85" spans="1:47" ht="15.75" customHeight="1" x14ac:dyDescent="0.2">
      <c r="A85" s="21">
        <v>81</v>
      </c>
      <c r="B85" s="21" t="s">
        <v>392</v>
      </c>
      <c r="C85" s="22"/>
      <c r="D85" s="23" t="s">
        <v>276</v>
      </c>
      <c r="E85" s="2">
        <v>130460000.00000001</v>
      </c>
      <c r="F85" s="2">
        <v>0</v>
      </c>
      <c r="G85" s="2">
        <v>0</v>
      </c>
      <c r="H85" s="2">
        <v>377000</v>
      </c>
      <c r="I85" s="2">
        <v>16000</v>
      </c>
      <c r="J85" s="2">
        <v>394000</v>
      </c>
      <c r="K85" s="24">
        <v>0.30180886778156457</v>
      </c>
      <c r="L85" s="25">
        <v>4150000</v>
      </c>
      <c r="M85" s="25">
        <v>390000</v>
      </c>
      <c r="N85" s="25">
        <v>0</v>
      </c>
      <c r="O85" s="25">
        <v>186000</v>
      </c>
      <c r="P85" s="25">
        <v>4726000</v>
      </c>
      <c r="R85" s="23" t="s">
        <v>281</v>
      </c>
      <c r="S85" s="2">
        <v>129300000</v>
      </c>
      <c r="T85" s="2">
        <v>0</v>
      </c>
      <c r="U85" s="2">
        <v>0</v>
      </c>
      <c r="V85" s="2">
        <v>408000</v>
      </c>
      <c r="W85" s="2">
        <v>22000</v>
      </c>
      <c r="X85" s="2">
        <v>430000</v>
      </c>
      <c r="Y85" s="26">
        <v>3.3255993812838359E-3</v>
      </c>
      <c r="Z85" s="2">
        <v>4353000</v>
      </c>
      <c r="AA85" s="2">
        <v>453000</v>
      </c>
      <c r="AB85" s="2">
        <v>0</v>
      </c>
      <c r="AC85" s="2">
        <v>283000</v>
      </c>
      <c r="AD85" s="2">
        <v>5089000</v>
      </c>
      <c r="AF85" s="23" t="s">
        <v>282</v>
      </c>
      <c r="AG85" s="2">
        <v>94300000</v>
      </c>
      <c r="AH85" s="2">
        <v>0</v>
      </c>
      <c r="AI85" s="2">
        <v>0</v>
      </c>
      <c r="AJ85" s="2">
        <v>408000</v>
      </c>
      <c r="AK85" s="2">
        <v>24000</v>
      </c>
      <c r="AL85" s="2">
        <v>432000</v>
      </c>
      <c r="AM85" s="26">
        <v>4.5811240721102863E-3</v>
      </c>
      <c r="AN85" s="2">
        <v>4466000</v>
      </c>
      <c r="AO85" s="2">
        <v>572000</v>
      </c>
      <c r="AP85" s="2">
        <v>0</v>
      </c>
      <c r="AQ85" s="2">
        <v>308000</v>
      </c>
      <c r="AR85" s="2">
        <v>5346000</v>
      </c>
      <c r="AU85" s="63"/>
    </row>
    <row r="86" spans="1:47" ht="15.75" customHeight="1" x14ac:dyDescent="0.2">
      <c r="A86" s="21">
        <v>82</v>
      </c>
      <c r="B86" s="21" t="s">
        <v>89</v>
      </c>
      <c r="C86" s="22"/>
      <c r="D86" s="23" t="s">
        <v>276</v>
      </c>
      <c r="E86" s="2">
        <v>48470000</v>
      </c>
      <c r="F86" s="2">
        <v>422000</v>
      </c>
      <c r="G86" s="2">
        <v>27000</v>
      </c>
      <c r="H86" s="2">
        <v>615000</v>
      </c>
      <c r="I86" s="2">
        <v>69000</v>
      </c>
      <c r="J86" s="2">
        <v>1133000</v>
      </c>
      <c r="K86" s="24">
        <v>2.3381093630487064</v>
      </c>
      <c r="L86" s="25">
        <v>1967000</v>
      </c>
      <c r="M86" s="25">
        <v>126000</v>
      </c>
      <c r="N86" s="25">
        <v>0</v>
      </c>
      <c r="O86" s="25">
        <v>37000</v>
      </c>
      <c r="P86" s="25">
        <v>2129000</v>
      </c>
      <c r="R86" s="23" t="s">
        <v>281</v>
      </c>
      <c r="S86" s="2">
        <v>48100000</v>
      </c>
      <c r="T86" s="2">
        <v>510000</v>
      </c>
      <c r="U86" s="2">
        <v>34000</v>
      </c>
      <c r="V86" s="2">
        <v>666000</v>
      </c>
      <c r="W86" s="2">
        <v>90000</v>
      </c>
      <c r="X86" s="2">
        <v>1300000</v>
      </c>
      <c r="Y86" s="26">
        <v>2.7027027027027029E-2</v>
      </c>
      <c r="Z86" s="2">
        <v>2100000</v>
      </c>
      <c r="AA86" s="2">
        <v>156000</v>
      </c>
      <c r="AB86" s="2">
        <v>0</v>
      </c>
      <c r="AC86" s="2">
        <v>46000</v>
      </c>
      <c r="AD86" s="2">
        <v>2302000</v>
      </c>
      <c r="AF86" s="23" t="s">
        <v>282</v>
      </c>
      <c r="AG86" s="2">
        <v>35600000</v>
      </c>
      <c r="AH86" s="2">
        <v>526000</v>
      </c>
      <c r="AI86" s="2">
        <v>41000</v>
      </c>
      <c r="AJ86" s="2">
        <v>666000</v>
      </c>
      <c r="AK86" s="2">
        <v>98000</v>
      </c>
      <c r="AL86" s="2">
        <v>1331000</v>
      </c>
      <c r="AM86" s="26">
        <v>3.7387640449438202E-2</v>
      </c>
      <c r="AN86" s="2">
        <v>2158000</v>
      </c>
      <c r="AO86" s="2">
        <v>191000</v>
      </c>
      <c r="AP86" s="2">
        <v>0</v>
      </c>
      <c r="AQ86" s="2">
        <v>50000</v>
      </c>
      <c r="AR86" s="2">
        <v>2399000</v>
      </c>
      <c r="AU86" s="63"/>
    </row>
    <row r="87" spans="1:47" ht="15.75" customHeight="1" x14ac:dyDescent="0.2">
      <c r="A87" s="21">
        <v>83</v>
      </c>
      <c r="B87" s="21" t="s">
        <v>21</v>
      </c>
      <c r="C87" s="22"/>
      <c r="D87" s="23" t="s">
        <v>276</v>
      </c>
      <c r="E87" s="2">
        <v>63080000</v>
      </c>
      <c r="F87" s="2">
        <v>20000</v>
      </c>
      <c r="G87" s="2">
        <v>4000</v>
      </c>
      <c r="H87" s="2">
        <v>483000</v>
      </c>
      <c r="I87" s="2">
        <v>0</v>
      </c>
      <c r="J87" s="2">
        <v>507000</v>
      </c>
      <c r="K87" s="24">
        <v>0.80342325887061661</v>
      </c>
      <c r="L87" s="25">
        <v>1028000</v>
      </c>
      <c r="M87" s="25">
        <v>225000</v>
      </c>
      <c r="N87" s="25">
        <v>0</v>
      </c>
      <c r="O87" s="25">
        <v>0</v>
      </c>
      <c r="P87" s="25">
        <v>1253000</v>
      </c>
      <c r="R87" s="23" t="s">
        <v>281</v>
      </c>
      <c r="S87" s="2">
        <v>62600000</v>
      </c>
      <c r="T87" s="2">
        <v>20000</v>
      </c>
      <c r="U87" s="2">
        <v>5000</v>
      </c>
      <c r="V87" s="2">
        <v>523000</v>
      </c>
      <c r="W87" s="2">
        <v>50000</v>
      </c>
      <c r="X87" s="2">
        <v>598000</v>
      </c>
      <c r="Y87" s="26">
        <v>9.5527156549520768E-3</v>
      </c>
      <c r="Z87" s="2">
        <v>1072000</v>
      </c>
      <c r="AA87" s="2">
        <v>275000</v>
      </c>
      <c r="AB87" s="2">
        <v>0</v>
      </c>
      <c r="AC87" s="2">
        <v>0</v>
      </c>
      <c r="AD87" s="2">
        <v>1347000</v>
      </c>
      <c r="AF87" s="23" t="s">
        <v>282</v>
      </c>
      <c r="AG87" s="2">
        <v>48300000</v>
      </c>
      <c r="AH87" s="2">
        <v>21000</v>
      </c>
      <c r="AI87" s="2">
        <v>6000</v>
      </c>
      <c r="AJ87" s="2">
        <v>523000</v>
      </c>
      <c r="AK87" s="2">
        <v>55000</v>
      </c>
      <c r="AL87" s="2">
        <v>605000</v>
      </c>
      <c r="AM87" s="26">
        <v>1.2525879917184264E-2</v>
      </c>
      <c r="AN87" s="2">
        <v>1112000</v>
      </c>
      <c r="AO87" s="2">
        <v>331000</v>
      </c>
      <c r="AP87" s="2">
        <v>0</v>
      </c>
      <c r="AQ87" s="2">
        <v>0</v>
      </c>
      <c r="AR87" s="2">
        <v>1443000</v>
      </c>
      <c r="AU87" s="63"/>
    </row>
    <row r="88" spans="1:47" ht="15.75" customHeight="1" x14ac:dyDescent="0.2">
      <c r="A88" s="21">
        <v>84</v>
      </c>
      <c r="B88" s="21" t="s">
        <v>239</v>
      </c>
      <c r="C88" s="22"/>
      <c r="D88" s="23" t="s">
        <v>276</v>
      </c>
      <c r="E88" s="2">
        <v>71470000</v>
      </c>
      <c r="F88" s="2">
        <v>878000</v>
      </c>
      <c r="G88" s="2">
        <v>155000</v>
      </c>
      <c r="H88" s="2">
        <v>62000</v>
      </c>
      <c r="I88" s="2">
        <v>52000</v>
      </c>
      <c r="J88" s="2">
        <v>1147000</v>
      </c>
      <c r="K88" s="24">
        <v>1.6050896185676657</v>
      </c>
      <c r="L88" s="25">
        <v>914000</v>
      </c>
      <c r="M88" s="25">
        <v>164000</v>
      </c>
      <c r="N88" s="25">
        <v>0</v>
      </c>
      <c r="O88" s="25">
        <v>0</v>
      </c>
      <c r="P88" s="25">
        <v>1078000</v>
      </c>
      <c r="R88" s="23" t="s">
        <v>281</v>
      </c>
      <c r="S88" s="2">
        <v>71400000</v>
      </c>
      <c r="T88" s="2">
        <v>785000</v>
      </c>
      <c r="U88" s="2">
        <v>189000</v>
      </c>
      <c r="V88" s="2">
        <v>67000</v>
      </c>
      <c r="W88" s="2">
        <v>69000</v>
      </c>
      <c r="X88" s="2">
        <v>1110000</v>
      </c>
      <c r="Y88" s="26">
        <v>1.5546218487394958E-2</v>
      </c>
      <c r="Z88" s="2">
        <v>883000</v>
      </c>
      <c r="AA88" s="2">
        <v>197000</v>
      </c>
      <c r="AB88" s="2">
        <v>0</v>
      </c>
      <c r="AC88" s="2">
        <v>0</v>
      </c>
      <c r="AD88" s="2">
        <v>1080000</v>
      </c>
      <c r="AF88" s="23" t="s">
        <v>282</v>
      </c>
      <c r="AG88" s="2">
        <v>53000000</v>
      </c>
      <c r="AH88" s="2">
        <v>811000</v>
      </c>
      <c r="AI88" s="2">
        <v>231000</v>
      </c>
      <c r="AJ88" s="2">
        <v>67000</v>
      </c>
      <c r="AK88" s="2">
        <v>76000</v>
      </c>
      <c r="AL88" s="2">
        <v>1185000</v>
      </c>
      <c r="AM88" s="26">
        <v>2.2358490566037736E-2</v>
      </c>
      <c r="AN88" s="2">
        <v>907000</v>
      </c>
      <c r="AO88" s="2">
        <v>241000</v>
      </c>
      <c r="AP88" s="2">
        <v>0</v>
      </c>
      <c r="AQ88" s="2">
        <v>0</v>
      </c>
      <c r="AR88" s="2">
        <v>1148000</v>
      </c>
      <c r="AU88" s="63"/>
    </row>
    <row r="89" spans="1:47" ht="15.75" customHeight="1" x14ac:dyDescent="0.2">
      <c r="A89" s="21">
        <v>91</v>
      </c>
      <c r="B89" s="21" t="s">
        <v>407</v>
      </c>
      <c r="C89" s="22"/>
      <c r="D89" s="23" t="s">
        <v>276</v>
      </c>
      <c r="E89" s="2">
        <v>33960000</v>
      </c>
      <c r="F89" s="2">
        <v>2450000</v>
      </c>
      <c r="G89" s="2">
        <v>10000</v>
      </c>
      <c r="H89" s="2">
        <v>101000</v>
      </c>
      <c r="I89" s="2">
        <v>18000</v>
      </c>
      <c r="J89" s="2">
        <v>2580000</v>
      </c>
      <c r="K89" s="24">
        <v>7.5964909042543534</v>
      </c>
      <c r="L89" s="25">
        <v>44466000</v>
      </c>
      <c r="M89" s="25">
        <v>175000</v>
      </c>
      <c r="N89" s="25">
        <v>0</v>
      </c>
      <c r="O89" s="25">
        <v>0</v>
      </c>
      <c r="P89" s="25">
        <v>44641000</v>
      </c>
      <c r="R89" s="23" t="s">
        <v>281</v>
      </c>
      <c r="S89" s="2">
        <v>35300000</v>
      </c>
      <c r="T89" s="2">
        <v>2665000</v>
      </c>
      <c r="U89" s="2">
        <v>12000</v>
      </c>
      <c r="V89" s="2">
        <v>109000</v>
      </c>
      <c r="W89" s="2">
        <v>27000</v>
      </c>
      <c r="X89" s="2">
        <v>2813000</v>
      </c>
      <c r="Y89" s="26">
        <v>7.9688385269121809E-2</v>
      </c>
      <c r="Z89" s="2">
        <v>44433000</v>
      </c>
      <c r="AA89" s="2">
        <v>190000</v>
      </c>
      <c r="AB89" s="2">
        <v>0</v>
      </c>
      <c r="AC89" s="2">
        <v>0</v>
      </c>
      <c r="AD89" s="2">
        <v>44623000</v>
      </c>
      <c r="AF89" s="23" t="s">
        <v>282</v>
      </c>
      <c r="AG89" s="2">
        <v>27900000</v>
      </c>
      <c r="AH89" s="2">
        <v>2741000</v>
      </c>
      <c r="AI89" s="2">
        <v>15000</v>
      </c>
      <c r="AJ89" s="2">
        <v>109000</v>
      </c>
      <c r="AK89" s="2">
        <v>29000</v>
      </c>
      <c r="AL89" s="2">
        <v>2894000</v>
      </c>
      <c r="AM89" s="26">
        <v>0.10372759856630824</v>
      </c>
      <c r="AN89" s="2">
        <v>44463000</v>
      </c>
      <c r="AO89" s="2">
        <v>245000</v>
      </c>
      <c r="AP89" s="2">
        <v>0</v>
      </c>
      <c r="AQ89" s="2">
        <v>0</v>
      </c>
      <c r="AR89" s="2">
        <v>44708000</v>
      </c>
      <c r="AU89" s="63"/>
    </row>
    <row r="90" spans="1:47" ht="15.75" customHeight="1" x14ac:dyDescent="0.2">
      <c r="A90" s="21">
        <v>92</v>
      </c>
      <c r="B90" s="21" t="s">
        <v>392</v>
      </c>
      <c r="C90" s="22"/>
      <c r="D90" s="23" t="s">
        <v>276</v>
      </c>
      <c r="E90" s="2">
        <v>194640000</v>
      </c>
      <c r="F90" s="2">
        <v>407000</v>
      </c>
      <c r="G90" s="2">
        <v>22000</v>
      </c>
      <c r="H90" s="2">
        <v>994000</v>
      </c>
      <c r="I90" s="2">
        <v>0</v>
      </c>
      <c r="J90" s="2">
        <v>1422000</v>
      </c>
      <c r="K90" s="24">
        <v>0.73071036459255823</v>
      </c>
      <c r="L90" s="25">
        <v>9439000</v>
      </c>
      <c r="M90" s="25">
        <v>3057000</v>
      </c>
      <c r="N90" s="25">
        <v>0</v>
      </c>
      <c r="O90" s="25">
        <v>172000</v>
      </c>
      <c r="P90" s="25">
        <v>12669000</v>
      </c>
      <c r="R90" s="23" t="s">
        <v>281</v>
      </c>
      <c r="S90" s="2">
        <v>184000000</v>
      </c>
      <c r="T90" s="2">
        <v>603000</v>
      </c>
      <c r="U90" s="2">
        <v>26000</v>
      </c>
      <c r="V90" s="2">
        <v>1077000</v>
      </c>
      <c r="W90" s="2">
        <v>0</v>
      </c>
      <c r="X90" s="2">
        <v>1706000</v>
      </c>
      <c r="Y90" s="26">
        <v>9.2717391304347821E-3</v>
      </c>
      <c r="Z90" s="2">
        <v>10382000</v>
      </c>
      <c r="AA90" s="2">
        <v>609000</v>
      </c>
      <c r="AB90" s="2">
        <v>0</v>
      </c>
      <c r="AC90" s="2">
        <v>191000</v>
      </c>
      <c r="AD90" s="2">
        <v>11182000</v>
      </c>
      <c r="AF90" s="23" t="s">
        <v>282</v>
      </c>
      <c r="AG90" s="2">
        <v>144000000</v>
      </c>
      <c r="AH90" s="2">
        <v>666000</v>
      </c>
      <c r="AI90" s="2">
        <v>33000</v>
      </c>
      <c r="AJ90" s="2">
        <v>1077000</v>
      </c>
      <c r="AK90" s="2">
        <v>0</v>
      </c>
      <c r="AL90" s="2">
        <v>1776000</v>
      </c>
      <c r="AM90" s="26">
        <v>1.2333333333333333E-2</v>
      </c>
      <c r="AN90" s="2">
        <v>10655000</v>
      </c>
      <c r="AO90" s="2">
        <v>761000</v>
      </c>
      <c r="AP90" s="2">
        <v>0</v>
      </c>
      <c r="AQ90" s="2">
        <v>208000</v>
      </c>
      <c r="AR90" s="2">
        <v>11624000</v>
      </c>
      <c r="AU90" s="63"/>
    </row>
    <row r="91" spans="1:47" ht="15.75" customHeight="1" x14ac:dyDescent="0.2">
      <c r="A91" s="21">
        <v>93</v>
      </c>
      <c r="B91" s="21" t="s">
        <v>392</v>
      </c>
      <c r="C91" s="22"/>
      <c r="D91" s="23" t="s">
        <v>276</v>
      </c>
      <c r="E91" s="2">
        <v>88330000</v>
      </c>
      <c r="F91" s="2">
        <v>358000</v>
      </c>
      <c r="G91" s="2">
        <v>32000</v>
      </c>
      <c r="H91" s="2">
        <v>5058000</v>
      </c>
      <c r="I91" s="2">
        <v>0</v>
      </c>
      <c r="J91" s="2">
        <v>5448000</v>
      </c>
      <c r="K91" s="24">
        <v>6.1674740128995484</v>
      </c>
      <c r="L91" s="25">
        <v>4421000</v>
      </c>
      <c r="M91" s="25">
        <v>399000</v>
      </c>
      <c r="N91" s="25">
        <v>0</v>
      </c>
      <c r="O91" s="25">
        <v>18000</v>
      </c>
      <c r="P91" s="25">
        <v>4838000</v>
      </c>
      <c r="R91" s="23" t="s">
        <v>281</v>
      </c>
      <c r="S91" s="2">
        <v>85400000</v>
      </c>
      <c r="T91" s="2">
        <v>427000</v>
      </c>
      <c r="U91" s="2">
        <v>41000</v>
      </c>
      <c r="V91" s="2">
        <v>5479000</v>
      </c>
      <c r="W91" s="2">
        <v>0</v>
      </c>
      <c r="X91" s="2">
        <v>5947000</v>
      </c>
      <c r="Y91" s="26">
        <v>6.963700234192037E-2</v>
      </c>
      <c r="Z91" s="2">
        <v>4894000</v>
      </c>
      <c r="AA91" s="2">
        <v>507000</v>
      </c>
      <c r="AB91" s="2">
        <v>0</v>
      </c>
      <c r="AC91" s="2">
        <v>18000</v>
      </c>
      <c r="AD91" s="2">
        <v>5419000</v>
      </c>
      <c r="AF91" s="23" t="s">
        <v>282</v>
      </c>
      <c r="AG91" s="2">
        <v>63100000</v>
      </c>
      <c r="AH91" s="2">
        <v>445000</v>
      </c>
      <c r="AI91" s="2">
        <v>48000</v>
      </c>
      <c r="AJ91" s="2">
        <v>5479000</v>
      </c>
      <c r="AK91" s="2">
        <v>0</v>
      </c>
      <c r="AL91" s="2">
        <v>5972000</v>
      </c>
      <c r="AM91" s="26">
        <v>9.4643423137876381E-2</v>
      </c>
      <c r="AN91" s="2">
        <v>5003000</v>
      </c>
      <c r="AO91" s="2">
        <v>588000</v>
      </c>
      <c r="AP91" s="2">
        <v>0</v>
      </c>
      <c r="AQ91" s="2">
        <v>18000</v>
      </c>
      <c r="AR91" s="2">
        <v>5609000</v>
      </c>
      <c r="AU91" s="63"/>
    </row>
    <row r="92" spans="1:47" ht="15.75" customHeight="1" x14ac:dyDescent="0.2">
      <c r="A92" s="21">
        <v>94</v>
      </c>
      <c r="B92" s="21" t="s">
        <v>392</v>
      </c>
      <c r="C92" s="22"/>
      <c r="D92" s="23" t="s">
        <v>276</v>
      </c>
      <c r="E92" s="2">
        <v>47810000</v>
      </c>
      <c r="F92" s="2">
        <v>81000</v>
      </c>
      <c r="G92" s="2">
        <v>11000</v>
      </c>
      <c r="H92" s="2">
        <v>30000</v>
      </c>
      <c r="I92" s="2">
        <v>175000</v>
      </c>
      <c r="J92" s="2">
        <v>297000</v>
      </c>
      <c r="K92" s="24">
        <v>0.62029758759459641</v>
      </c>
      <c r="L92" s="25">
        <v>3340000</v>
      </c>
      <c r="M92" s="25">
        <v>439000</v>
      </c>
      <c r="N92" s="25">
        <v>0</v>
      </c>
      <c r="O92" s="25">
        <v>168000</v>
      </c>
      <c r="P92" s="25">
        <v>3948000</v>
      </c>
      <c r="R92" s="23" t="s">
        <v>281</v>
      </c>
      <c r="S92" s="2">
        <v>44500000</v>
      </c>
      <c r="T92" s="2">
        <v>114000</v>
      </c>
      <c r="U92" s="2">
        <v>12000</v>
      </c>
      <c r="V92" s="2">
        <v>32000</v>
      </c>
      <c r="W92" s="2">
        <v>175000</v>
      </c>
      <c r="X92" s="2">
        <v>333000</v>
      </c>
      <c r="Y92" s="26">
        <v>7.4831460674157305E-3</v>
      </c>
      <c r="Z92" s="2">
        <v>3449000</v>
      </c>
      <c r="AA92" s="2">
        <v>482000</v>
      </c>
      <c r="AB92" s="2">
        <v>0</v>
      </c>
      <c r="AC92" s="2">
        <v>168000</v>
      </c>
      <c r="AD92" s="2">
        <v>4099000</v>
      </c>
      <c r="AF92" s="23" t="s">
        <v>282</v>
      </c>
      <c r="AG92" s="2">
        <v>34700000</v>
      </c>
      <c r="AH92" s="2">
        <v>138000</v>
      </c>
      <c r="AI92" s="2">
        <v>16000</v>
      </c>
      <c r="AJ92" s="2">
        <v>32000</v>
      </c>
      <c r="AK92" s="2">
        <v>235000</v>
      </c>
      <c r="AL92" s="2">
        <v>421000</v>
      </c>
      <c r="AM92" s="26">
        <v>1.2132564841498559E-2</v>
      </c>
      <c r="AN92" s="2">
        <v>3501000</v>
      </c>
      <c r="AO92" s="2">
        <v>653000</v>
      </c>
      <c r="AP92" s="2">
        <v>0</v>
      </c>
      <c r="AQ92" s="2">
        <v>225000</v>
      </c>
      <c r="AR92" s="2">
        <v>4379000</v>
      </c>
      <c r="AU92" s="63"/>
    </row>
    <row r="93" spans="1:47" ht="15.75" customHeight="1" x14ac:dyDescent="0.2">
      <c r="A93" s="21">
        <v>95</v>
      </c>
      <c r="B93" s="21" t="s">
        <v>392</v>
      </c>
      <c r="C93" s="22"/>
      <c r="D93" s="23" t="s">
        <v>276</v>
      </c>
      <c r="E93" s="2">
        <v>56450000</v>
      </c>
      <c r="F93" s="2">
        <v>0</v>
      </c>
      <c r="G93" s="2">
        <v>0</v>
      </c>
      <c r="H93" s="2">
        <v>158000</v>
      </c>
      <c r="I93" s="2">
        <v>8000</v>
      </c>
      <c r="J93" s="2">
        <v>166000</v>
      </c>
      <c r="K93" s="24">
        <v>0.2937739720797346</v>
      </c>
      <c r="L93" s="25">
        <v>3033000</v>
      </c>
      <c r="M93" s="25">
        <v>261000</v>
      </c>
      <c r="N93" s="25">
        <v>0</v>
      </c>
      <c r="O93" s="25">
        <v>4000</v>
      </c>
      <c r="P93" s="25">
        <v>3298000</v>
      </c>
      <c r="R93" s="23" t="s">
        <v>281</v>
      </c>
      <c r="S93" s="2">
        <v>54100000</v>
      </c>
      <c r="T93" s="2">
        <v>0</v>
      </c>
      <c r="U93" s="2">
        <v>0</v>
      </c>
      <c r="V93" s="2">
        <v>171000</v>
      </c>
      <c r="W93" s="2">
        <v>10000</v>
      </c>
      <c r="X93" s="2">
        <v>181000</v>
      </c>
      <c r="Y93" s="26">
        <v>3.3456561922365988E-3</v>
      </c>
      <c r="Z93" s="2">
        <v>3341000</v>
      </c>
      <c r="AA93" s="2">
        <v>307000</v>
      </c>
      <c r="AB93" s="2">
        <v>0</v>
      </c>
      <c r="AC93" s="2">
        <v>4000</v>
      </c>
      <c r="AD93" s="2">
        <v>3652000</v>
      </c>
      <c r="AF93" s="23" t="s">
        <v>282</v>
      </c>
      <c r="AG93" s="2">
        <v>39700000</v>
      </c>
      <c r="AH93" s="2">
        <v>0</v>
      </c>
      <c r="AI93" s="2">
        <v>0</v>
      </c>
      <c r="AJ93" s="2">
        <v>171000</v>
      </c>
      <c r="AK93" s="2">
        <v>12000</v>
      </c>
      <c r="AL93" s="2">
        <v>183000</v>
      </c>
      <c r="AM93" s="26">
        <v>4.6095717884130985E-3</v>
      </c>
      <c r="AN93" s="2">
        <v>3434000</v>
      </c>
      <c r="AO93" s="2">
        <v>371000</v>
      </c>
      <c r="AP93" s="2">
        <v>0</v>
      </c>
      <c r="AQ93" s="2">
        <v>4000</v>
      </c>
      <c r="AR93" s="2">
        <v>3809000</v>
      </c>
      <c r="AU93" s="63"/>
    </row>
    <row r="94" spans="1:47" ht="15.75" customHeight="1" x14ac:dyDescent="0.2">
      <c r="A94" s="21">
        <v>96</v>
      </c>
      <c r="B94" s="21" t="s">
        <v>408</v>
      </c>
      <c r="C94" s="22"/>
      <c r="D94" s="23" t="s">
        <v>276</v>
      </c>
      <c r="E94" s="2">
        <v>41880000</v>
      </c>
      <c r="F94" s="2">
        <v>6196000</v>
      </c>
      <c r="G94" s="2">
        <v>191000</v>
      </c>
      <c r="H94" s="2">
        <v>15387000</v>
      </c>
      <c r="I94" s="2">
        <v>0</v>
      </c>
      <c r="J94" s="2">
        <v>21773000</v>
      </c>
      <c r="K94" s="24">
        <v>51.990191543482858</v>
      </c>
      <c r="L94" s="25">
        <v>257000</v>
      </c>
      <c r="M94" s="25">
        <v>6000</v>
      </c>
      <c r="N94" s="25">
        <v>0</v>
      </c>
      <c r="O94" s="25">
        <v>0</v>
      </c>
      <c r="P94" s="25">
        <v>262000</v>
      </c>
      <c r="R94" s="23" t="s">
        <v>281</v>
      </c>
      <c r="S94" s="2">
        <v>39400000</v>
      </c>
      <c r="T94" s="2">
        <v>5585000</v>
      </c>
      <c r="U94" s="2">
        <v>225000</v>
      </c>
      <c r="V94" s="2">
        <v>16667000</v>
      </c>
      <c r="W94" s="2">
        <v>48000</v>
      </c>
      <c r="X94" s="2">
        <v>22525000</v>
      </c>
      <c r="Y94" s="26">
        <v>0.5717005076142132</v>
      </c>
      <c r="Z94" s="2">
        <v>240000</v>
      </c>
      <c r="AA94" s="2">
        <v>7000</v>
      </c>
      <c r="AB94" s="2">
        <v>0</v>
      </c>
      <c r="AC94" s="2">
        <v>0</v>
      </c>
      <c r="AD94" s="2">
        <v>247000</v>
      </c>
      <c r="AF94" s="23" t="s">
        <v>282</v>
      </c>
      <c r="AG94" s="2">
        <v>31900000</v>
      </c>
      <c r="AH94" s="2">
        <v>5737000</v>
      </c>
      <c r="AI94" s="2">
        <v>272000</v>
      </c>
      <c r="AJ94" s="2">
        <v>16667000</v>
      </c>
      <c r="AK94" s="2">
        <v>53000</v>
      </c>
      <c r="AL94" s="2">
        <v>22729000</v>
      </c>
      <c r="AM94" s="26">
        <v>0.71250783699059561</v>
      </c>
      <c r="AN94" s="2">
        <v>242000</v>
      </c>
      <c r="AO94" s="2">
        <v>8000</v>
      </c>
      <c r="AP94" s="2">
        <v>0</v>
      </c>
      <c r="AQ94" s="2">
        <v>0</v>
      </c>
      <c r="AR94" s="2">
        <v>250000</v>
      </c>
      <c r="AU94" s="63"/>
    </row>
    <row r="95" spans="1:47" ht="15.75" customHeight="1" x14ac:dyDescent="0.2">
      <c r="A95" s="21">
        <v>97</v>
      </c>
      <c r="B95" s="21" t="s">
        <v>409</v>
      </c>
      <c r="C95" s="22"/>
      <c r="D95" s="23" t="s">
        <v>276</v>
      </c>
      <c r="E95" s="2">
        <v>57640000</v>
      </c>
      <c r="F95" s="2">
        <v>20710000</v>
      </c>
      <c r="G95" s="2">
        <v>216000</v>
      </c>
      <c r="H95" s="2">
        <v>3852000</v>
      </c>
      <c r="I95" s="2">
        <v>53000</v>
      </c>
      <c r="J95" s="2">
        <v>24832000</v>
      </c>
      <c r="K95" s="24">
        <v>43.080540647070094</v>
      </c>
      <c r="L95" s="25">
        <v>148000</v>
      </c>
      <c r="M95" s="25">
        <v>1000</v>
      </c>
      <c r="N95" s="25">
        <v>0</v>
      </c>
      <c r="O95" s="25">
        <v>0</v>
      </c>
      <c r="P95" s="25">
        <v>149000</v>
      </c>
      <c r="R95" s="23" t="s">
        <v>281</v>
      </c>
      <c r="S95" s="2">
        <v>55600000</v>
      </c>
      <c r="T95" s="2">
        <v>25864000</v>
      </c>
      <c r="U95" s="2">
        <v>302000</v>
      </c>
      <c r="V95" s="2">
        <v>8080000</v>
      </c>
      <c r="W95" s="2">
        <v>18000</v>
      </c>
      <c r="X95" s="2">
        <v>34264000</v>
      </c>
      <c r="Y95" s="26">
        <v>0.61625899280575536</v>
      </c>
      <c r="Z95" s="2">
        <v>148000</v>
      </c>
      <c r="AA95" s="2">
        <v>1000</v>
      </c>
      <c r="AB95" s="2">
        <v>0</v>
      </c>
      <c r="AC95" s="2">
        <v>0</v>
      </c>
      <c r="AD95" s="2">
        <v>149000</v>
      </c>
      <c r="AF95" s="23" t="s">
        <v>282</v>
      </c>
      <c r="AG95" s="2">
        <v>52700000</v>
      </c>
      <c r="AH95" s="2">
        <v>26357000</v>
      </c>
      <c r="AI95" s="2">
        <v>353000</v>
      </c>
      <c r="AJ95" s="2">
        <v>8080000</v>
      </c>
      <c r="AK95" s="2">
        <v>26000</v>
      </c>
      <c r="AL95" s="2">
        <v>34816000</v>
      </c>
      <c r="AM95" s="26">
        <v>0.66064516129032258</v>
      </c>
      <c r="AN95" s="2">
        <v>148000</v>
      </c>
      <c r="AO95" s="2">
        <v>1000</v>
      </c>
      <c r="AP95" s="2">
        <v>0</v>
      </c>
      <c r="AQ95" s="2">
        <v>0</v>
      </c>
      <c r="AR95" s="2">
        <v>149000</v>
      </c>
      <c r="AU95" s="63"/>
    </row>
    <row r="96" spans="1:47" ht="15.75" customHeight="1" x14ac:dyDescent="0.2">
      <c r="A96" s="21">
        <v>98</v>
      </c>
      <c r="B96" s="21" t="s">
        <v>410</v>
      </c>
      <c r="C96" s="22"/>
      <c r="D96" s="23" t="s">
        <v>276</v>
      </c>
      <c r="E96" s="2">
        <v>37270000</v>
      </c>
      <c r="F96" s="2">
        <v>10819000</v>
      </c>
      <c r="G96" s="2">
        <v>1608000</v>
      </c>
      <c r="H96" s="2">
        <v>1478000</v>
      </c>
      <c r="I96" s="2">
        <v>73000</v>
      </c>
      <c r="J96" s="2">
        <v>13977000</v>
      </c>
      <c r="K96" s="24">
        <v>37.502300048110044</v>
      </c>
      <c r="L96" s="25">
        <v>0</v>
      </c>
      <c r="M96" s="25">
        <v>0</v>
      </c>
      <c r="N96" s="25">
        <v>0</v>
      </c>
      <c r="O96" s="25">
        <v>0</v>
      </c>
      <c r="P96" s="25">
        <v>0</v>
      </c>
      <c r="R96" s="23" t="s">
        <v>281</v>
      </c>
      <c r="S96" s="2">
        <v>35700000</v>
      </c>
      <c r="T96" s="2">
        <v>10844000</v>
      </c>
      <c r="U96" s="2">
        <v>1377000</v>
      </c>
      <c r="V96" s="2">
        <v>1601000</v>
      </c>
      <c r="W96" s="2">
        <v>0</v>
      </c>
      <c r="X96" s="2">
        <v>13822000</v>
      </c>
      <c r="Y96" s="26">
        <v>0.38717086834733894</v>
      </c>
      <c r="Z96" s="2">
        <v>0</v>
      </c>
      <c r="AA96" s="2">
        <v>0</v>
      </c>
      <c r="AB96" s="2">
        <v>0</v>
      </c>
      <c r="AC96" s="2">
        <v>0</v>
      </c>
      <c r="AD96" s="2">
        <v>0</v>
      </c>
      <c r="AF96" s="23" t="s">
        <v>282</v>
      </c>
      <c r="AG96" s="2">
        <v>34900000</v>
      </c>
      <c r="AH96" s="2">
        <v>11011000</v>
      </c>
      <c r="AI96" s="2">
        <v>1668000</v>
      </c>
      <c r="AJ96" s="2">
        <v>1601000</v>
      </c>
      <c r="AK96" s="2">
        <v>0</v>
      </c>
      <c r="AL96" s="2">
        <v>14280000</v>
      </c>
      <c r="AM96" s="26">
        <v>0.40916905444126073</v>
      </c>
      <c r="AN96" s="2">
        <v>0</v>
      </c>
      <c r="AO96" s="2">
        <v>0</v>
      </c>
      <c r="AP96" s="2">
        <v>0</v>
      </c>
      <c r="AQ96" s="2">
        <v>0</v>
      </c>
      <c r="AR96" s="2">
        <v>0</v>
      </c>
      <c r="AU96" s="63"/>
    </row>
    <row r="97" spans="1:47" ht="15.75" customHeight="1" x14ac:dyDescent="0.2">
      <c r="A97" s="21">
        <v>99</v>
      </c>
      <c r="B97" s="21" t="s">
        <v>195</v>
      </c>
      <c r="C97" s="22"/>
      <c r="D97" s="23" t="s">
        <v>276</v>
      </c>
      <c r="E97" s="2">
        <v>22470000</v>
      </c>
      <c r="F97" s="2">
        <v>1586000</v>
      </c>
      <c r="G97" s="2">
        <v>16028000</v>
      </c>
      <c r="H97" s="2">
        <v>30000</v>
      </c>
      <c r="I97" s="2">
        <v>0</v>
      </c>
      <c r="J97" s="2">
        <v>17644000</v>
      </c>
      <c r="K97" s="24">
        <v>78.520707870038592</v>
      </c>
      <c r="L97" s="25">
        <v>0</v>
      </c>
      <c r="M97" s="25">
        <v>0</v>
      </c>
      <c r="N97" s="25">
        <v>0</v>
      </c>
      <c r="O97" s="25">
        <v>0</v>
      </c>
      <c r="P97" s="25">
        <v>0</v>
      </c>
      <c r="R97" s="23" t="s">
        <v>281</v>
      </c>
      <c r="S97" s="2">
        <v>32600000</v>
      </c>
      <c r="T97" s="2">
        <v>1850000</v>
      </c>
      <c r="U97" s="2">
        <v>22625000</v>
      </c>
      <c r="V97" s="2">
        <v>32000</v>
      </c>
      <c r="W97" s="2">
        <v>0</v>
      </c>
      <c r="X97" s="2">
        <v>24507000</v>
      </c>
      <c r="Y97" s="26">
        <v>0.75174846625766867</v>
      </c>
      <c r="Z97" s="2">
        <v>0</v>
      </c>
      <c r="AA97" s="2">
        <v>0</v>
      </c>
      <c r="AB97" s="2">
        <v>0</v>
      </c>
      <c r="AC97" s="2">
        <v>0</v>
      </c>
      <c r="AD97" s="2">
        <v>0</v>
      </c>
      <c r="AF97" s="23" t="s">
        <v>282</v>
      </c>
      <c r="AG97" s="2">
        <v>25600000</v>
      </c>
      <c r="AH97" s="2">
        <v>1855000</v>
      </c>
      <c r="AI97" s="2">
        <v>22536000</v>
      </c>
      <c r="AJ97" s="2">
        <v>32000</v>
      </c>
      <c r="AK97" s="2">
        <v>0</v>
      </c>
      <c r="AL97" s="2">
        <v>24423000</v>
      </c>
      <c r="AM97" s="26">
        <v>0.95402343749999996</v>
      </c>
      <c r="AN97" s="2">
        <v>0</v>
      </c>
      <c r="AO97" s="2">
        <v>0</v>
      </c>
      <c r="AP97" s="2">
        <v>0</v>
      </c>
      <c r="AQ97" s="2">
        <v>0</v>
      </c>
      <c r="AR97" s="2">
        <v>0</v>
      </c>
      <c r="AU97" s="63"/>
    </row>
  </sheetData>
  <autoFilter ref="A7:AR97"/>
  <mergeCells count="20">
    <mergeCell ref="AN6:AR6"/>
    <mergeCell ref="F6:K6"/>
    <mergeCell ref="L6:P6"/>
    <mergeCell ref="T6:Y6"/>
    <mergeCell ref="Z6:AD6"/>
    <mergeCell ref="AH6:AM6"/>
    <mergeCell ref="A7:A8"/>
    <mergeCell ref="R7:R8"/>
    <mergeCell ref="S7:S8"/>
    <mergeCell ref="T8:X8"/>
    <mergeCell ref="Z8:AD8"/>
    <mergeCell ref="E7:E8"/>
    <mergeCell ref="F8:J8"/>
    <mergeCell ref="L8:P8"/>
    <mergeCell ref="D7:D8"/>
    <mergeCell ref="AF7:AF8"/>
    <mergeCell ref="AG7:AG8"/>
    <mergeCell ref="AH8:AL8"/>
    <mergeCell ref="AN8:AR8"/>
    <mergeCell ref="B7:B8"/>
  </mergeCells>
  <pageMargins left="0.70866141732283472" right="0.70866141732283472" top="1.1811023622047245" bottom="0.78740157480314965" header="0.51181102362204722" footer="0.31496062992125984"/>
  <pageSetup paperSize="9" orientation="portrait" r:id="rId1"/>
  <headerFooter>
    <oddHeader>&amp;L&amp;G&amp;CWasserschatz Österreichs&amp;R&amp;A</oddHeader>
    <oddFooter>&amp;L
Grundlagen für nachhaltige Nutzungen des Grundwassers.
&amp;R&amp;Pvon &amp;N</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5"/>
  <sheetViews>
    <sheetView tabSelected="1" zoomScale="110" zoomScaleNormal="110" workbookViewId="0">
      <pane xSplit="2" ySplit="6" topLeftCell="C40" activePane="bottomRight" state="frozen"/>
      <selection pane="topRight" activeCell="C1" sqref="C1"/>
      <selection pane="bottomLeft" activeCell="A7" sqref="A7"/>
      <selection pane="bottomRight" activeCell="B57" sqref="B57"/>
    </sheetView>
  </sheetViews>
  <sheetFormatPr baseColWidth="10" defaultRowHeight="15.75" customHeight="1" x14ac:dyDescent="0.2"/>
  <cols>
    <col min="1" max="1" width="11.125" style="10" customWidth="1"/>
    <col min="2" max="2" width="43.75" style="10" customWidth="1"/>
    <col min="3" max="3" width="14.625" style="10" customWidth="1"/>
    <col min="4" max="4" width="12.25" style="10" customWidth="1"/>
    <col min="5" max="5" width="9.75" style="10" customWidth="1"/>
    <col min="6" max="6" width="14.125" style="51" customWidth="1"/>
    <col min="7" max="7" width="13.125" style="51" customWidth="1"/>
    <col min="8" max="8" width="9.75" style="51" customWidth="1"/>
    <col min="9" max="10" width="13.625" style="51" customWidth="1"/>
    <col min="11" max="11" width="12.75" style="51" customWidth="1"/>
    <col min="12" max="12" width="15.25" style="51" customWidth="1"/>
    <col min="13" max="13" width="40.875" style="69" customWidth="1"/>
    <col min="14" max="16384" width="11" style="10"/>
  </cols>
  <sheetData>
    <row r="1" spans="1:13" ht="51" customHeight="1" x14ac:dyDescent="0.2"/>
    <row r="2" spans="1:13" ht="15.75" customHeight="1" x14ac:dyDescent="0.2">
      <c r="A2" s="11" t="s">
        <v>426</v>
      </c>
      <c r="B2" s="1"/>
      <c r="C2" s="1"/>
      <c r="D2" s="1"/>
    </row>
    <row r="3" spans="1:13" s="37" customFormat="1" ht="12.75" x14ac:dyDescent="0.2">
      <c r="A3" s="60" t="s">
        <v>439</v>
      </c>
      <c r="B3" s="52"/>
      <c r="C3" s="52"/>
      <c r="D3" s="52"/>
      <c r="E3" s="53">
        <v>83602.865102171723</v>
      </c>
      <c r="F3" s="36">
        <f t="shared" ref="F3:L3" si="0">SUM(F7:F135)</f>
        <v>27353.599999999999</v>
      </c>
      <c r="G3" s="36">
        <f t="shared" si="0"/>
        <v>4789.2000000000007</v>
      </c>
      <c r="H3" s="36">
        <f t="shared" si="0"/>
        <v>325.7</v>
      </c>
      <c r="I3" s="36">
        <f t="shared" si="0"/>
        <v>341.09999999999991</v>
      </c>
      <c r="J3" s="36">
        <f t="shared" si="0"/>
        <v>-340.90000000000003</v>
      </c>
      <c r="K3" s="36">
        <f t="shared" si="0"/>
        <v>5114.9999999999991</v>
      </c>
      <c r="L3" s="36">
        <f t="shared" si="0"/>
        <v>443.33</v>
      </c>
      <c r="M3" s="70"/>
    </row>
    <row r="4" spans="1:13" s="37" customFormat="1" ht="13.5" thickBot="1" x14ac:dyDescent="0.25">
      <c r="A4" s="60" t="s">
        <v>440</v>
      </c>
      <c r="B4" s="52"/>
      <c r="C4" s="52"/>
      <c r="D4" s="52"/>
      <c r="E4" s="53">
        <f t="shared" ref="E4:L4" si="1">SUBTOTAL(9,E7:E135)</f>
        <v>83602.865102171723</v>
      </c>
      <c r="F4" s="53">
        <f t="shared" si="1"/>
        <v>27353.599999999999</v>
      </c>
      <c r="G4" s="53">
        <f t="shared" si="1"/>
        <v>4789.2000000000007</v>
      </c>
      <c r="H4" s="53">
        <f t="shared" si="1"/>
        <v>325.7</v>
      </c>
      <c r="I4" s="53">
        <f t="shared" si="1"/>
        <v>341.09999999999991</v>
      </c>
      <c r="J4" s="53">
        <f t="shared" si="1"/>
        <v>-340.90000000000003</v>
      </c>
      <c r="K4" s="53">
        <f t="shared" si="1"/>
        <v>5114.9999999999991</v>
      </c>
      <c r="L4" s="53">
        <f t="shared" si="1"/>
        <v>443.33</v>
      </c>
      <c r="M4" s="70"/>
    </row>
    <row r="5" spans="1:13" s="57" customFormat="1" ht="63.75" x14ac:dyDescent="0.2">
      <c r="A5" s="92" t="s">
        <v>2</v>
      </c>
      <c r="B5" s="92" t="s">
        <v>3</v>
      </c>
      <c r="C5" s="96" t="s">
        <v>4</v>
      </c>
      <c r="D5" s="96" t="s">
        <v>338</v>
      </c>
      <c r="E5" s="18" t="s">
        <v>424</v>
      </c>
      <c r="F5" s="54" t="s">
        <v>291</v>
      </c>
      <c r="G5" s="55" t="s">
        <v>292</v>
      </c>
      <c r="H5" s="55" t="s">
        <v>293</v>
      </c>
      <c r="I5" s="55" t="s">
        <v>294</v>
      </c>
      <c r="J5" s="55" t="s">
        <v>295</v>
      </c>
      <c r="K5" s="55" t="s">
        <v>296</v>
      </c>
      <c r="L5" s="56" t="s">
        <v>433</v>
      </c>
      <c r="M5" s="73" t="s">
        <v>297</v>
      </c>
    </row>
    <row r="6" spans="1:13" s="12" customFormat="1" ht="15.75" customHeight="1" thickBot="1" x14ac:dyDescent="0.25">
      <c r="A6" s="92"/>
      <c r="B6" s="92"/>
      <c r="C6" s="97"/>
      <c r="D6" s="97"/>
      <c r="E6" s="18" t="s">
        <v>423</v>
      </c>
      <c r="F6" s="93" t="s">
        <v>441</v>
      </c>
      <c r="G6" s="94"/>
      <c r="H6" s="94"/>
      <c r="I6" s="94"/>
      <c r="J6" s="94"/>
      <c r="K6" s="94"/>
      <c r="L6" s="95"/>
      <c r="M6" s="71"/>
    </row>
    <row r="7" spans="1:13" ht="15.75" customHeight="1" x14ac:dyDescent="0.2">
      <c r="A7" s="23" t="s">
        <v>5</v>
      </c>
      <c r="B7" s="23" t="s">
        <v>6</v>
      </c>
      <c r="C7" s="23" t="s">
        <v>344</v>
      </c>
      <c r="D7" s="23" t="s">
        <v>340</v>
      </c>
      <c r="E7" s="4">
        <v>31.100500585900001</v>
      </c>
      <c r="F7" s="58">
        <v>22.4</v>
      </c>
      <c r="G7" s="58">
        <v>7.2</v>
      </c>
      <c r="H7" s="58">
        <v>0</v>
      </c>
      <c r="I7" s="58">
        <v>0</v>
      </c>
      <c r="J7" s="58">
        <v>0</v>
      </c>
      <c r="K7" s="58">
        <v>7.2</v>
      </c>
      <c r="L7" s="58"/>
      <c r="M7" s="68"/>
    </row>
    <row r="8" spans="1:13" ht="25.5" x14ac:dyDescent="0.2">
      <c r="A8" s="23" t="s">
        <v>7</v>
      </c>
      <c r="B8" s="23" t="s">
        <v>8</v>
      </c>
      <c r="C8" s="23" t="s">
        <v>344</v>
      </c>
      <c r="D8" s="23" t="s">
        <v>340</v>
      </c>
      <c r="E8" s="4">
        <v>222.73636533500002</v>
      </c>
      <c r="F8" s="59">
        <v>99.1</v>
      </c>
      <c r="G8" s="59">
        <v>41.4</v>
      </c>
      <c r="H8" s="59">
        <v>0</v>
      </c>
      <c r="I8" s="59">
        <v>0</v>
      </c>
      <c r="J8" s="59">
        <v>0</v>
      </c>
      <c r="K8" s="59">
        <v>41.4</v>
      </c>
      <c r="L8" s="58"/>
      <c r="M8" s="72" t="s">
        <v>418</v>
      </c>
    </row>
    <row r="9" spans="1:13" ht="15.75" customHeight="1" x14ac:dyDescent="0.2">
      <c r="A9" s="23" t="s">
        <v>9</v>
      </c>
      <c r="B9" s="23" t="s">
        <v>10</v>
      </c>
      <c r="C9" s="23" t="s">
        <v>344</v>
      </c>
      <c r="D9" s="23" t="s">
        <v>340</v>
      </c>
      <c r="E9" s="4">
        <v>48.548960944200005</v>
      </c>
      <c r="F9" s="59">
        <v>38.799999999999997</v>
      </c>
      <c r="G9" s="59">
        <v>13.9</v>
      </c>
      <c r="H9" s="59">
        <v>0</v>
      </c>
      <c r="I9" s="59">
        <v>0</v>
      </c>
      <c r="J9" s="59">
        <v>0</v>
      </c>
      <c r="K9" s="59">
        <v>13.9</v>
      </c>
      <c r="L9" s="58"/>
      <c r="M9" s="68"/>
    </row>
    <row r="10" spans="1:13" ht="15.75" customHeight="1" x14ac:dyDescent="0.2">
      <c r="A10" s="23" t="s">
        <v>11</v>
      </c>
      <c r="B10" s="23" t="s">
        <v>12</v>
      </c>
      <c r="C10" s="23" t="s">
        <v>344</v>
      </c>
      <c r="D10" s="23" t="s">
        <v>340</v>
      </c>
      <c r="E10" s="4">
        <v>56.258199575999996</v>
      </c>
      <c r="F10" s="59">
        <v>59.7</v>
      </c>
      <c r="G10" s="59">
        <v>7.9</v>
      </c>
      <c r="H10" s="59">
        <v>0</v>
      </c>
      <c r="I10" s="59">
        <v>8.8000000000000007</v>
      </c>
      <c r="J10" s="59">
        <v>0</v>
      </c>
      <c r="K10" s="59">
        <v>16.7</v>
      </c>
      <c r="L10" s="58"/>
      <c r="M10" s="68"/>
    </row>
    <row r="11" spans="1:13" ht="15.75" customHeight="1" x14ac:dyDescent="0.2">
      <c r="A11" s="23" t="s">
        <v>13</v>
      </c>
      <c r="B11" s="23" t="s">
        <v>14</v>
      </c>
      <c r="C11" s="23" t="s">
        <v>344</v>
      </c>
      <c r="D11" s="23" t="s">
        <v>340</v>
      </c>
      <c r="E11" s="4">
        <v>181.71565277399998</v>
      </c>
      <c r="F11" s="59">
        <v>318.89999999999998</v>
      </c>
      <c r="G11" s="59">
        <v>34.799999999999997</v>
      </c>
      <c r="H11" s="59">
        <v>0</v>
      </c>
      <c r="I11" s="59">
        <v>63.7</v>
      </c>
      <c r="J11" s="59">
        <v>0</v>
      </c>
      <c r="K11" s="59">
        <v>98.5</v>
      </c>
      <c r="L11" s="58">
        <v>17.100000000000001</v>
      </c>
      <c r="M11" s="68" t="s">
        <v>298</v>
      </c>
    </row>
    <row r="12" spans="1:13" ht="15.75" customHeight="1" x14ac:dyDescent="0.2">
      <c r="A12" s="23" t="s">
        <v>15</v>
      </c>
      <c r="B12" s="23" t="s">
        <v>16</v>
      </c>
      <c r="C12" s="23" t="s">
        <v>17</v>
      </c>
      <c r="D12" s="23" t="s">
        <v>341</v>
      </c>
      <c r="E12" s="4">
        <v>29.456345693399999</v>
      </c>
      <c r="F12" s="59">
        <v>12.4</v>
      </c>
      <c r="G12" s="59">
        <v>1.9</v>
      </c>
      <c r="H12" s="59">
        <v>0</v>
      </c>
      <c r="I12" s="59">
        <v>0</v>
      </c>
      <c r="J12" s="59">
        <v>0</v>
      </c>
      <c r="K12" s="59">
        <v>1.9</v>
      </c>
      <c r="L12" s="58"/>
      <c r="M12" s="68"/>
    </row>
    <row r="13" spans="1:13" ht="15.75" customHeight="1" x14ac:dyDescent="0.2">
      <c r="A13" s="23" t="s">
        <v>18</v>
      </c>
      <c r="B13" s="23" t="s">
        <v>19</v>
      </c>
      <c r="C13" s="23" t="s">
        <v>17</v>
      </c>
      <c r="D13" s="23" t="s">
        <v>341</v>
      </c>
      <c r="E13" s="4">
        <v>5644.2261998489294</v>
      </c>
      <c r="F13" s="59">
        <v>3163.1</v>
      </c>
      <c r="G13" s="59">
        <v>528.5</v>
      </c>
      <c r="H13" s="59">
        <v>0</v>
      </c>
      <c r="I13" s="59">
        <v>0</v>
      </c>
      <c r="J13" s="59">
        <v>-15.799999999999999</v>
      </c>
      <c r="K13" s="59">
        <v>512.6</v>
      </c>
      <c r="L13" s="58"/>
      <c r="M13" s="68"/>
    </row>
    <row r="14" spans="1:13" ht="15.75" customHeight="1" x14ac:dyDescent="0.2">
      <c r="A14" s="23" t="s">
        <v>20</v>
      </c>
      <c r="B14" s="23" t="s">
        <v>21</v>
      </c>
      <c r="C14" s="23" t="s">
        <v>17</v>
      </c>
      <c r="D14" s="23" t="s">
        <v>342</v>
      </c>
      <c r="E14" s="4">
        <v>9563.2385564699998</v>
      </c>
      <c r="F14" s="59">
        <v>4872.4000000000005</v>
      </c>
      <c r="G14" s="59">
        <v>823.19999999999993</v>
      </c>
      <c r="H14" s="59">
        <v>0</v>
      </c>
      <c r="I14" s="59">
        <v>0</v>
      </c>
      <c r="J14" s="59">
        <v>-48.6</v>
      </c>
      <c r="K14" s="59">
        <v>774.49999999999989</v>
      </c>
      <c r="L14" s="58"/>
      <c r="M14" s="68"/>
    </row>
    <row r="15" spans="1:13" ht="15.75" customHeight="1" x14ac:dyDescent="0.2">
      <c r="A15" s="23" t="s">
        <v>22</v>
      </c>
      <c r="B15" s="23" t="s">
        <v>23</v>
      </c>
      <c r="C15" s="23" t="s">
        <v>17</v>
      </c>
      <c r="D15" s="23" t="s">
        <v>342</v>
      </c>
      <c r="E15" s="4">
        <v>281.636581433</v>
      </c>
      <c r="F15" s="59">
        <v>73.2</v>
      </c>
      <c r="G15" s="59">
        <v>11</v>
      </c>
      <c r="H15" s="59">
        <v>4.7</v>
      </c>
      <c r="I15" s="59">
        <v>0</v>
      </c>
      <c r="J15" s="59">
        <v>0</v>
      </c>
      <c r="K15" s="59">
        <v>15.7</v>
      </c>
      <c r="L15" s="58">
        <v>4.6900000000000004</v>
      </c>
      <c r="M15" s="68" t="s">
        <v>299</v>
      </c>
    </row>
    <row r="16" spans="1:13" ht="15.75" customHeight="1" x14ac:dyDescent="0.2">
      <c r="A16" s="23" t="s">
        <v>24</v>
      </c>
      <c r="B16" s="23" t="s">
        <v>25</v>
      </c>
      <c r="C16" s="23" t="s">
        <v>17</v>
      </c>
      <c r="D16" s="23" t="s">
        <v>343</v>
      </c>
      <c r="E16" s="4">
        <v>212.84441554899999</v>
      </c>
      <c r="F16" s="59">
        <v>63.8</v>
      </c>
      <c r="G16" s="59">
        <v>13</v>
      </c>
      <c r="H16" s="59">
        <v>0</v>
      </c>
      <c r="I16" s="59">
        <v>0</v>
      </c>
      <c r="J16" s="59">
        <v>0</v>
      </c>
      <c r="K16" s="59">
        <v>13</v>
      </c>
      <c r="L16" s="58">
        <v>7.88</v>
      </c>
      <c r="M16" s="68" t="s">
        <v>300</v>
      </c>
    </row>
    <row r="17" spans="1:13" ht="15.75" customHeight="1" x14ac:dyDescent="0.2">
      <c r="A17" s="23" t="s">
        <v>26</v>
      </c>
      <c r="B17" s="23" t="s">
        <v>27</v>
      </c>
      <c r="C17" s="23" t="s">
        <v>17</v>
      </c>
      <c r="D17" s="23" t="s">
        <v>343</v>
      </c>
      <c r="E17" s="4">
        <v>630.13223153199999</v>
      </c>
      <c r="F17" s="59">
        <v>250.3</v>
      </c>
      <c r="G17" s="59">
        <v>31.9</v>
      </c>
      <c r="H17" s="59">
        <v>0</v>
      </c>
      <c r="I17" s="59">
        <v>7.9</v>
      </c>
      <c r="J17" s="59">
        <v>0</v>
      </c>
      <c r="K17" s="59">
        <v>39.799999999999997</v>
      </c>
      <c r="L17" s="58">
        <v>22.07</v>
      </c>
      <c r="M17" s="68" t="s">
        <v>301</v>
      </c>
    </row>
    <row r="18" spans="1:13" ht="15.75" customHeight="1" x14ac:dyDescent="0.2">
      <c r="A18" s="23" t="s">
        <v>28</v>
      </c>
      <c r="B18" s="23" t="s">
        <v>29</v>
      </c>
      <c r="C18" s="23" t="s">
        <v>17</v>
      </c>
      <c r="D18" s="23" t="s">
        <v>343</v>
      </c>
      <c r="E18" s="4">
        <v>452.84397322899997</v>
      </c>
      <c r="F18" s="59">
        <v>167.6</v>
      </c>
      <c r="G18" s="59">
        <v>25.8</v>
      </c>
      <c r="H18" s="59">
        <v>0</v>
      </c>
      <c r="I18" s="59">
        <v>0</v>
      </c>
      <c r="J18" s="59">
        <v>0</v>
      </c>
      <c r="K18" s="59">
        <v>25.8</v>
      </c>
      <c r="L18" s="58"/>
      <c r="M18" s="68"/>
    </row>
    <row r="19" spans="1:13" ht="15.75" customHeight="1" x14ac:dyDescent="0.2">
      <c r="A19" s="23" t="s">
        <v>30</v>
      </c>
      <c r="B19" s="23" t="s">
        <v>31</v>
      </c>
      <c r="C19" s="23" t="s">
        <v>17</v>
      </c>
      <c r="D19" s="23" t="s">
        <v>342</v>
      </c>
      <c r="E19" s="4">
        <v>570.30097499700003</v>
      </c>
      <c r="F19" s="59">
        <v>102.6</v>
      </c>
      <c r="G19" s="59">
        <v>17.100000000000001</v>
      </c>
      <c r="H19" s="59">
        <v>0</v>
      </c>
      <c r="I19" s="59">
        <v>0</v>
      </c>
      <c r="J19" s="59">
        <v>0</v>
      </c>
      <c r="K19" s="59">
        <v>17.100000000000001</v>
      </c>
      <c r="L19" s="58"/>
      <c r="M19" s="68"/>
    </row>
    <row r="20" spans="1:13" ht="15.75" customHeight="1" x14ac:dyDescent="0.2">
      <c r="A20" s="23" t="s">
        <v>32</v>
      </c>
      <c r="B20" s="23" t="s">
        <v>33</v>
      </c>
      <c r="C20" s="23" t="s">
        <v>17</v>
      </c>
      <c r="D20" s="23" t="s">
        <v>342</v>
      </c>
      <c r="E20" s="4">
        <v>48.958538566200005</v>
      </c>
      <c r="F20" s="59">
        <v>24.5</v>
      </c>
      <c r="G20" s="59">
        <v>3.9</v>
      </c>
      <c r="H20" s="59">
        <v>0</v>
      </c>
      <c r="I20" s="59">
        <v>0</v>
      </c>
      <c r="J20" s="59">
        <v>0</v>
      </c>
      <c r="K20" s="59">
        <v>3.9</v>
      </c>
      <c r="L20" s="58"/>
      <c r="M20" s="68"/>
    </row>
    <row r="21" spans="1:13" s="12" customFormat="1" ht="15.75" customHeight="1" x14ac:dyDescent="0.2">
      <c r="A21" s="23" t="s">
        <v>34</v>
      </c>
      <c r="B21" s="23" t="s">
        <v>35</v>
      </c>
      <c r="C21" s="23" t="s">
        <v>344</v>
      </c>
      <c r="D21" s="23" t="s">
        <v>340</v>
      </c>
      <c r="E21" s="4">
        <v>63.645128850799999</v>
      </c>
      <c r="F21" s="59">
        <v>21.6</v>
      </c>
      <c r="G21" s="59">
        <v>3.5</v>
      </c>
      <c r="H21" s="59">
        <v>0</v>
      </c>
      <c r="I21" s="59">
        <v>3.2</v>
      </c>
      <c r="J21" s="59">
        <v>0</v>
      </c>
      <c r="K21" s="59">
        <v>6.7</v>
      </c>
      <c r="L21" s="58"/>
      <c r="M21" s="68"/>
    </row>
    <row r="22" spans="1:13" s="12" customFormat="1" ht="15.75" customHeight="1" x14ac:dyDescent="0.2">
      <c r="A22" s="23" t="s">
        <v>36</v>
      </c>
      <c r="B22" s="23" t="s">
        <v>37</v>
      </c>
      <c r="C22" s="23" t="s">
        <v>344</v>
      </c>
      <c r="D22" s="23" t="s">
        <v>340</v>
      </c>
      <c r="E22" s="4">
        <v>112.8880406512</v>
      </c>
      <c r="F22" s="59">
        <v>9</v>
      </c>
      <c r="G22" s="59">
        <v>6.6</v>
      </c>
      <c r="H22" s="59">
        <v>0</v>
      </c>
      <c r="I22" s="59">
        <v>0</v>
      </c>
      <c r="J22" s="59">
        <v>0</v>
      </c>
      <c r="K22" s="59">
        <v>6.6</v>
      </c>
      <c r="L22" s="58"/>
      <c r="M22" s="68"/>
    </row>
    <row r="23" spans="1:13" s="12" customFormat="1" ht="15.75" customHeight="1" x14ac:dyDescent="0.2">
      <c r="A23" s="23" t="s">
        <v>38</v>
      </c>
      <c r="B23" s="23" t="s">
        <v>39</v>
      </c>
      <c r="C23" s="23" t="s">
        <v>344</v>
      </c>
      <c r="D23" s="23" t="s">
        <v>340</v>
      </c>
      <c r="E23" s="4">
        <v>111.656529647</v>
      </c>
      <c r="F23" s="59">
        <v>31.8</v>
      </c>
      <c r="G23" s="59">
        <v>8.1999999999999993</v>
      </c>
      <c r="H23" s="59">
        <v>0</v>
      </c>
      <c r="I23" s="59">
        <v>6</v>
      </c>
      <c r="J23" s="59">
        <v>0</v>
      </c>
      <c r="K23" s="59">
        <v>14.2</v>
      </c>
      <c r="L23" s="58"/>
      <c r="M23" s="68" t="s">
        <v>302</v>
      </c>
    </row>
    <row r="24" spans="1:13" s="12" customFormat="1" ht="15.75" customHeight="1" x14ac:dyDescent="0.2">
      <c r="A24" s="23" t="s">
        <v>40</v>
      </c>
      <c r="B24" s="23" t="s">
        <v>41</v>
      </c>
      <c r="C24" s="23" t="s">
        <v>344</v>
      </c>
      <c r="D24" s="23" t="s">
        <v>340</v>
      </c>
      <c r="E24" s="4">
        <v>941.72750789700012</v>
      </c>
      <c r="F24" s="59">
        <v>94.2</v>
      </c>
      <c r="G24" s="59">
        <v>40</v>
      </c>
      <c r="H24" s="59">
        <v>24.8</v>
      </c>
      <c r="I24" s="59">
        <v>0.3</v>
      </c>
      <c r="J24" s="59">
        <v>0</v>
      </c>
      <c r="K24" s="59">
        <v>65.2</v>
      </c>
      <c r="L24" s="58">
        <v>22.8</v>
      </c>
      <c r="M24" s="68" t="s">
        <v>453</v>
      </c>
    </row>
    <row r="25" spans="1:13" s="12" customFormat="1" ht="15.75" customHeight="1" x14ac:dyDescent="0.2">
      <c r="A25" s="23" t="s">
        <v>42</v>
      </c>
      <c r="B25" s="23" t="s">
        <v>43</v>
      </c>
      <c r="C25" s="23" t="s">
        <v>344</v>
      </c>
      <c r="D25" s="23" t="s">
        <v>340</v>
      </c>
      <c r="E25" s="4">
        <v>254.12144561299999</v>
      </c>
      <c r="F25" s="59">
        <v>14</v>
      </c>
      <c r="G25" s="59">
        <v>4.4000000000000004</v>
      </c>
      <c r="H25" s="59">
        <v>0</v>
      </c>
      <c r="I25" s="59">
        <v>0</v>
      </c>
      <c r="J25" s="59">
        <v>0</v>
      </c>
      <c r="K25" s="59">
        <v>4.4000000000000004</v>
      </c>
      <c r="L25" s="58"/>
      <c r="M25" s="68"/>
    </row>
    <row r="26" spans="1:13" s="12" customFormat="1" ht="15.75" customHeight="1" x14ac:dyDescent="0.2">
      <c r="A26" s="23" t="s">
        <v>44</v>
      </c>
      <c r="B26" s="23" t="s">
        <v>45</v>
      </c>
      <c r="C26" s="23" t="s">
        <v>344</v>
      </c>
      <c r="D26" s="23" t="s">
        <v>340</v>
      </c>
      <c r="E26" s="4">
        <v>48.000200185000004</v>
      </c>
      <c r="F26" s="59">
        <v>17</v>
      </c>
      <c r="G26" s="59">
        <v>1.7</v>
      </c>
      <c r="H26" s="59">
        <v>0</v>
      </c>
      <c r="I26" s="59">
        <v>2.8</v>
      </c>
      <c r="J26" s="59">
        <v>0</v>
      </c>
      <c r="K26" s="59">
        <v>4.4000000000000004</v>
      </c>
      <c r="L26" s="58"/>
      <c r="M26" s="68"/>
    </row>
    <row r="27" spans="1:13" s="12" customFormat="1" ht="15.75" customHeight="1" x14ac:dyDescent="0.2">
      <c r="A27" s="23" t="s">
        <v>46</v>
      </c>
      <c r="B27" s="23" t="s">
        <v>47</v>
      </c>
      <c r="C27" s="23" t="s">
        <v>344</v>
      </c>
      <c r="D27" s="23" t="s">
        <v>340</v>
      </c>
      <c r="E27" s="4">
        <v>42.762638099699998</v>
      </c>
      <c r="F27" s="59">
        <v>17.100000000000001</v>
      </c>
      <c r="G27" s="59">
        <v>4.2</v>
      </c>
      <c r="H27" s="59">
        <v>3.2</v>
      </c>
      <c r="I27" s="59">
        <v>0.4</v>
      </c>
      <c r="J27" s="59">
        <v>0</v>
      </c>
      <c r="K27" s="59">
        <v>7.8</v>
      </c>
      <c r="L27" s="58">
        <v>3.15</v>
      </c>
      <c r="M27" s="68" t="s">
        <v>304</v>
      </c>
    </row>
    <row r="28" spans="1:13" s="12" customFormat="1" ht="15.75" customHeight="1" x14ac:dyDescent="0.2">
      <c r="A28" s="23" t="s">
        <v>48</v>
      </c>
      <c r="B28" s="23" t="s">
        <v>49</v>
      </c>
      <c r="C28" s="23" t="s">
        <v>344</v>
      </c>
      <c r="D28" s="23" t="s">
        <v>340</v>
      </c>
      <c r="E28" s="4">
        <v>1228.1839044159999</v>
      </c>
      <c r="F28" s="59">
        <v>343.9</v>
      </c>
      <c r="G28" s="59">
        <v>116.8</v>
      </c>
      <c r="H28" s="59">
        <v>0</v>
      </c>
      <c r="I28" s="59">
        <v>13.6</v>
      </c>
      <c r="J28" s="59">
        <v>0</v>
      </c>
      <c r="K28" s="59">
        <v>130.30000000000001</v>
      </c>
      <c r="L28" s="58">
        <v>26</v>
      </c>
      <c r="M28" s="68" t="s">
        <v>305</v>
      </c>
    </row>
    <row r="29" spans="1:13" s="12" customFormat="1" ht="15.75" customHeight="1" x14ac:dyDescent="0.2">
      <c r="A29" s="23" t="s">
        <v>50</v>
      </c>
      <c r="B29" s="23" t="s">
        <v>51</v>
      </c>
      <c r="C29" s="23" t="s">
        <v>344</v>
      </c>
      <c r="D29" s="23" t="s">
        <v>340</v>
      </c>
      <c r="E29" s="4">
        <v>96.981435705099997</v>
      </c>
      <c r="F29" s="59">
        <v>31</v>
      </c>
      <c r="G29" s="59">
        <v>6.2</v>
      </c>
      <c r="H29" s="59">
        <v>0</v>
      </c>
      <c r="I29" s="59">
        <v>8.1999999999999993</v>
      </c>
      <c r="J29" s="59">
        <v>0</v>
      </c>
      <c r="K29" s="59">
        <v>14.4</v>
      </c>
      <c r="L29" s="58"/>
      <c r="M29" s="68"/>
    </row>
    <row r="30" spans="1:13" s="12" customFormat="1" ht="15.75" customHeight="1" x14ac:dyDescent="0.2">
      <c r="A30" s="23" t="s">
        <v>52</v>
      </c>
      <c r="B30" s="23" t="s">
        <v>53</v>
      </c>
      <c r="C30" s="23" t="s">
        <v>344</v>
      </c>
      <c r="D30" s="23" t="s">
        <v>340</v>
      </c>
      <c r="E30" s="4">
        <v>586.5925381720001</v>
      </c>
      <c r="F30" s="59">
        <v>117.3</v>
      </c>
      <c r="G30" s="59">
        <v>28.5</v>
      </c>
      <c r="H30" s="59">
        <v>52.8</v>
      </c>
      <c r="I30" s="59">
        <v>4</v>
      </c>
      <c r="J30" s="59">
        <v>0</v>
      </c>
      <c r="K30" s="59">
        <v>85.3</v>
      </c>
      <c r="L30" s="58">
        <v>52.8</v>
      </c>
      <c r="M30" s="68" t="s">
        <v>303</v>
      </c>
    </row>
    <row r="31" spans="1:13" s="12" customFormat="1" ht="15.75" customHeight="1" x14ac:dyDescent="0.2">
      <c r="A31" s="23" t="s">
        <v>54</v>
      </c>
      <c r="B31" s="23" t="s">
        <v>306</v>
      </c>
      <c r="C31" s="23" t="s">
        <v>344</v>
      </c>
      <c r="D31" s="23" t="s">
        <v>340</v>
      </c>
      <c r="E31" s="4">
        <v>117.205030615</v>
      </c>
      <c r="F31" s="59">
        <v>38.1</v>
      </c>
      <c r="G31" s="59">
        <v>13.5</v>
      </c>
      <c r="H31" s="59">
        <v>6.3</v>
      </c>
      <c r="I31" s="59">
        <v>0.2</v>
      </c>
      <c r="J31" s="59">
        <v>0</v>
      </c>
      <c r="K31" s="59">
        <v>20.100000000000001</v>
      </c>
      <c r="L31" s="58">
        <v>6.3</v>
      </c>
      <c r="M31" s="68" t="s">
        <v>307</v>
      </c>
    </row>
    <row r="32" spans="1:13" s="12" customFormat="1" ht="15.75" customHeight="1" x14ac:dyDescent="0.2">
      <c r="A32" s="23" t="s">
        <v>56</v>
      </c>
      <c r="B32" s="23" t="s">
        <v>57</v>
      </c>
      <c r="C32" s="23" t="s">
        <v>344</v>
      </c>
      <c r="D32" s="23" t="s">
        <v>340</v>
      </c>
      <c r="E32" s="4">
        <v>118.78188297</v>
      </c>
      <c r="F32" s="59">
        <v>57</v>
      </c>
      <c r="G32" s="59">
        <v>14.1</v>
      </c>
      <c r="H32" s="59">
        <v>3.2</v>
      </c>
      <c r="I32" s="59">
        <v>7.8</v>
      </c>
      <c r="J32" s="59">
        <v>0</v>
      </c>
      <c r="K32" s="59">
        <v>25</v>
      </c>
      <c r="L32" s="58">
        <v>3.15</v>
      </c>
      <c r="M32" s="68" t="s">
        <v>303</v>
      </c>
    </row>
    <row r="33" spans="1:13" s="12" customFormat="1" ht="15.75" customHeight="1" x14ac:dyDescent="0.2">
      <c r="A33" s="23" t="s">
        <v>58</v>
      </c>
      <c r="B33" s="23" t="s">
        <v>59</v>
      </c>
      <c r="C33" s="23" t="s">
        <v>17</v>
      </c>
      <c r="D33" s="23" t="s">
        <v>343</v>
      </c>
      <c r="E33" s="4">
        <v>1340.8513453476</v>
      </c>
      <c r="F33" s="59">
        <v>140.5</v>
      </c>
      <c r="G33" s="59">
        <v>26.099999999999994</v>
      </c>
      <c r="H33" s="59">
        <v>0</v>
      </c>
      <c r="I33" s="59">
        <v>0</v>
      </c>
      <c r="J33" s="59">
        <v>-4.2</v>
      </c>
      <c r="K33" s="59">
        <v>21.7</v>
      </c>
      <c r="L33" s="58"/>
      <c r="M33" s="68"/>
    </row>
    <row r="34" spans="1:13" s="12" customFormat="1" ht="12.75" x14ac:dyDescent="0.2">
      <c r="A34" s="23" t="s">
        <v>60</v>
      </c>
      <c r="B34" s="23" t="s">
        <v>61</v>
      </c>
      <c r="C34" s="23" t="s">
        <v>17</v>
      </c>
      <c r="D34" s="23" t="s">
        <v>343</v>
      </c>
      <c r="E34" s="4">
        <v>1346.84380274296</v>
      </c>
      <c r="F34" s="59">
        <v>53.9</v>
      </c>
      <c r="G34" s="59">
        <v>6.2</v>
      </c>
      <c r="H34" s="59">
        <v>0</v>
      </c>
      <c r="I34" s="59">
        <v>0</v>
      </c>
      <c r="J34" s="59">
        <v>0</v>
      </c>
      <c r="K34" s="59">
        <v>6.2</v>
      </c>
      <c r="L34" s="58"/>
      <c r="M34" s="68"/>
    </row>
    <row r="35" spans="1:13" s="12" customFormat="1" ht="12.75" x14ac:dyDescent="0.2">
      <c r="A35" s="23" t="s">
        <v>62</v>
      </c>
      <c r="B35" s="23" t="s">
        <v>63</v>
      </c>
      <c r="C35" s="23" t="s">
        <v>344</v>
      </c>
      <c r="D35" s="23" t="s">
        <v>340</v>
      </c>
      <c r="E35" s="4">
        <v>119.65094115959999</v>
      </c>
      <c r="F35" s="59">
        <v>69.400000000000006</v>
      </c>
      <c r="G35" s="59">
        <v>5</v>
      </c>
      <c r="H35" s="59">
        <v>30</v>
      </c>
      <c r="I35" s="59">
        <v>3.5</v>
      </c>
      <c r="J35" s="59">
        <v>0</v>
      </c>
      <c r="K35" s="59">
        <v>38.5</v>
      </c>
      <c r="L35" s="58">
        <v>29.96</v>
      </c>
      <c r="M35" s="68" t="s">
        <v>308</v>
      </c>
    </row>
    <row r="36" spans="1:13" s="12" customFormat="1" ht="15.75" customHeight="1" x14ac:dyDescent="0.2">
      <c r="A36" s="23" t="s">
        <v>64</v>
      </c>
      <c r="B36" s="23" t="s">
        <v>65</v>
      </c>
      <c r="C36" s="23" t="s">
        <v>344</v>
      </c>
      <c r="D36" s="23" t="s">
        <v>340</v>
      </c>
      <c r="E36" s="4">
        <v>21.275750359700002</v>
      </c>
      <c r="F36" s="59">
        <v>15.1</v>
      </c>
      <c r="G36" s="59">
        <v>1.6</v>
      </c>
      <c r="H36" s="59">
        <v>0</v>
      </c>
      <c r="I36" s="59">
        <v>2.9</v>
      </c>
      <c r="J36" s="59">
        <v>0</v>
      </c>
      <c r="K36" s="59">
        <v>4.5</v>
      </c>
      <c r="L36" s="58"/>
      <c r="M36" s="68"/>
    </row>
    <row r="37" spans="1:13" s="12" customFormat="1" ht="15.75" customHeight="1" x14ac:dyDescent="0.2">
      <c r="A37" s="23" t="s">
        <v>66</v>
      </c>
      <c r="B37" s="23" t="s">
        <v>67</v>
      </c>
      <c r="C37" s="23" t="s">
        <v>344</v>
      </c>
      <c r="D37" s="23" t="s">
        <v>340</v>
      </c>
      <c r="E37" s="4">
        <v>95.904606978300009</v>
      </c>
      <c r="F37" s="59">
        <v>113.7</v>
      </c>
      <c r="G37" s="59">
        <v>11</v>
      </c>
      <c r="H37" s="59">
        <v>69.099999999999994</v>
      </c>
      <c r="I37" s="59">
        <v>0</v>
      </c>
      <c r="J37" s="59">
        <v>0</v>
      </c>
      <c r="K37" s="59">
        <v>80.099999999999994</v>
      </c>
      <c r="L37" s="58">
        <v>68.75</v>
      </c>
      <c r="M37" s="68" t="s">
        <v>309</v>
      </c>
    </row>
    <row r="38" spans="1:13" s="12" customFormat="1" ht="15.75" customHeight="1" x14ac:dyDescent="0.2">
      <c r="A38" s="23" t="s">
        <v>68</v>
      </c>
      <c r="B38" s="23" t="s">
        <v>310</v>
      </c>
      <c r="C38" s="23" t="s">
        <v>344</v>
      </c>
      <c r="D38" s="23" t="s">
        <v>340</v>
      </c>
      <c r="E38" s="4">
        <v>79.95589368089999</v>
      </c>
      <c r="F38" s="59">
        <v>51.6</v>
      </c>
      <c r="G38" s="59">
        <v>12.3</v>
      </c>
      <c r="H38" s="59">
        <v>0</v>
      </c>
      <c r="I38" s="59">
        <v>6.6</v>
      </c>
      <c r="J38" s="59">
        <v>0</v>
      </c>
      <c r="K38" s="59">
        <v>18.899999999999999</v>
      </c>
      <c r="L38" s="58"/>
      <c r="M38" s="68"/>
    </row>
    <row r="39" spans="1:13" s="12" customFormat="1" ht="15.75" customHeight="1" x14ac:dyDescent="0.2">
      <c r="A39" s="23" t="s">
        <v>70</v>
      </c>
      <c r="B39" s="23" t="s">
        <v>311</v>
      </c>
      <c r="C39" s="23" t="s">
        <v>344</v>
      </c>
      <c r="D39" s="23" t="s">
        <v>340</v>
      </c>
      <c r="E39" s="4">
        <v>77.830886286999998</v>
      </c>
      <c r="F39" s="59">
        <v>45.9</v>
      </c>
      <c r="G39" s="59">
        <v>9.9</v>
      </c>
      <c r="H39" s="59">
        <v>0</v>
      </c>
      <c r="I39" s="59">
        <v>5.5</v>
      </c>
      <c r="J39" s="59">
        <v>0</v>
      </c>
      <c r="K39" s="59">
        <v>15.4</v>
      </c>
      <c r="L39" s="58"/>
      <c r="M39" s="68"/>
    </row>
    <row r="40" spans="1:13" s="12" customFormat="1" ht="15.75" customHeight="1" x14ac:dyDescent="0.2">
      <c r="A40" s="23" t="s">
        <v>72</v>
      </c>
      <c r="B40" s="23" t="s">
        <v>73</v>
      </c>
      <c r="C40" s="23" t="s">
        <v>344</v>
      </c>
      <c r="D40" s="23" t="s">
        <v>340</v>
      </c>
      <c r="E40" s="4">
        <v>27.069707980999997</v>
      </c>
      <c r="F40" s="59">
        <v>33.9</v>
      </c>
      <c r="G40" s="59">
        <v>2.6</v>
      </c>
      <c r="H40" s="59">
        <v>0</v>
      </c>
      <c r="I40" s="59">
        <v>6.2</v>
      </c>
      <c r="J40" s="59">
        <v>0</v>
      </c>
      <c r="K40" s="59">
        <v>8.8000000000000007</v>
      </c>
      <c r="L40" s="58"/>
      <c r="M40" s="68"/>
    </row>
    <row r="41" spans="1:13" s="12" customFormat="1" ht="15.75" customHeight="1" x14ac:dyDescent="0.2">
      <c r="A41" s="23" t="s">
        <v>74</v>
      </c>
      <c r="B41" s="23" t="s">
        <v>75</v>
      </c>
      <c r="C41" s="23" t="s">
        <v>344</v>
      </c>
      <c r="D41" s="23" t="s">
        <v>340</v>
      </c>
      <c r="E41" s="4">
        <v>46.922021340800001</v>
      </c>
      <c r="F41" s="59">
        <v>44.1</v>
      </c>
      <c r="G41" s="59">
        <v>5.2</v>
      </c>
      <c r="H41" s="59">
        <v>0</v>
      </c>
      <c r="I41" s="59">
        <v>6.5</v>
      </c>
      <c r="J41" s="59">
        <v>0</v>
      </c>
      <c r="K41" s="59">
        <v>11.6</v>
      </c>
      <c r="L41" s="58"/>
      <c r="M41" s="68"/>
    </row>
    <row r="42" spans="1:13" s="12" customFormat="1" ht="15.75" customHeight="1" x14ac:dyDescent="0.2">
      <c r="A42" s="23" t="s">
        <v>76</v>
      </c>
      <c r="B42" s="23" t="s">
        <v>77</v>
      </c>
      <c r="C42" s="23" t="s">
        <v>344</v>
      </c>
      <c r="D42" s="23" t="s">
        <v>340</v>
      </c>
      <c r="E42" s="4">
        <v>18.392669684000001</v>
      </c>
      <c r="F42" s="59">
        <v>24.1</v>
      </c>
      <c r="G42" s="59">
        <v>5.7</v>
      </c>
      <c r="H42" s="59">
        <v>0</v>
      </c>
      <c r="I42" s="59">
        <v>5</v>
      </c>
      <c r="J42" s="59">
        <v>0</v>
      </c>
      <c r="K42" s="59">
        <v>10.7</v>
      </c>
      <c r="L42" s="58"/>
      <c r="M42" s="68"/>
    </row>
    <row r="43" spans="1:13" s="12" customFormat="1" ht="15.75" customHeight="1" x14ac:dyDescent="0.2">
      <c r="A43" s="23" t="s">
        <v>78</v>
      </c>
      <c r="B43" s="23" t="s">
        <v>79</v>
      </c>
      <c r="C43" s="23" t="s">
        <v>17</v>
      </c>
      <c r="D43" s="23" t="s">
        <v>343</v>
      </c>
      <c r="E43" s="4">
        <v>403.340499873</v>
      </c>
      <c r="F43" s="59">
        <v>214.89999999999998</v>
      </c>
      <c r="G43" s="59">
        <v>60.599999999999994</v>
      </c>
      <c r="H43" s="59">
        <v>10</v>
      </c>
      <c r="I43" s="59">
        <v>9.1</v>
      </c>
      <c r="J43" s="59">
        <v>0</v>
      </c>
      <c r="K43" s="59">
        <v>79.800000000000011</v>
      </c>
      <c r="L43" s="58">
        <v>40</v>
      </c>
      <c r="M43" s="68" t="s">
        <v>312</v>
      </c>
    </row>
    <row r="44" spans="1:13" s="12" customFormat="1" ht="12.75" x14ac:dyDescent="0.2">
      <c r="A44" s="23" t="s">
        <v>80</v>
      </c>
      <c r="B44" s="23" t="s">
        <v>81</v>
      </c>
      <c r="C44" s="23" t="s">
        <v>344</v>
      </c>
      <c r="D44" s="23" t="s">
        <v>340</v>
      </c>
      <c r="E44" s="4">
        <v>205.07953568799999</v>
      </c>
      <c r="F44" s="59">
        <v>81</v>
      </c>
      <c r="G44" s="59">
        <v>19.399999999999999</v>
      </c>
      <c r="H44" s="59">
        <v>16.7</v>
      </c>
      <c r="I44" s="59">
        <v>0.7</v>
      </c>
      <c r="J44" s="59">
        <v>0</v>
      </c>
      <c r="K44" s="59">
        <v>36.799999999999997</v>
      </c>
      <c r="L44" s="58">
        <v>3.31</v>
      </c>
      <c r="M44" s="68" t="s">
        <v>313</v>
      </c>
    </row>
    <row r="45" spans="1:13" s="12" customFormat="1" ht="15.75" customHeight="1" x14ac:dyDescent="0.2">
      <c r="A45" s="23" t="s">
        <v>82</v>
      </c>
      <c r="B45" s="23" t="s">
        <v>83</v>
      </c>
      <c r="C45" s="23" t="s">
        <v>17</v>
      </c>
      <c r="D45" s="23" t="s">
        <v>341</v>
      </c>
      <c r="E45" s="4">
        <v>227.09338907499998</v>
      </c>
      <c r="F45" s="59">
        <v>118.1</v>
      </c>
      <c r="G45" s="59">
        <v>20</v>
      </c>
      <c r="H45" s="59">
        <v>0</v>
      </c>
      <c r="I45" s="59">
        <v>0</v>
      </c>
      <c r="J45" s="59">
        <v>-1.7</v>
      </c>
      <c r="K45" s="59">
        <v>18.3</v>
      </c>
      <c r="L45" s="58"/>
      <c r="M45" s="68"/>
    </row>
    <row r="46" spans="1:13" s="12" customFormat="1" ht="15.75" customHeight="1" x14ac:dyDescent="0.2">
      <c r="A46" s="23" t="s">
        <v>84</v>
      </c>
      <c r="B46" s="23" t="s">
        <v>85</v>
      </c>
      <c r="C46" s="23" t="s">
        <v>17</v>
      </c>
      <c r="D46" s="23" t="s">
        <v>342</v>
      </c>
      <c r="E46" s="4">
        <v>1314.6862943356</v>
      </c>
      <c r="F46" s="59">
        <v>709.9</v>
      </c>
      <c r="G46" s="59">
        <v>122.3</v>
      </c>
      <c r="H46" s="59">
        <v>0</v>
      </c>
      <c r="I46" s="59">
        <v>0</v>
      </c>
      <c r="J46" s="59">
        <v>-10.6</v>
      </c>
      <c r="K46" s="59">
        <v>111.8</v>
      </c>
      <c r="L46" s="58"/>
      <c r="M46" s="68"/>
    </row>
    <row r="47" spans="1:13" s="12" customFormat="1" ht="15.75" customHeight="1" x14ac:dyDescent="0.2">
      <c r="A47" s="23" t="s">
        <v>86</v>
      </c>
      <c r="B47" s="23" t="s">
        <v>87</v>
      </c>
      <c r="C47" s="23" t="s">
        <v>17</v>
      </c>
      <c r="D47" s="23" t="s">
        <v>343</v>
      </c>
      <c r="E47" s="4">
        <v>90.221672329300006</v>
      </c>
      <c r="F47" s="59">
        <v>45.1</v>
      </c>
      <c r="G47" s="59">
        <v>7.3</v>
      </c>
      <c r="H47" s="59">
        <v>0</v>
      </c>
      <c r="I47" s="59">
        <v>0</v>
      </c>
      <c r="J47" s="59">
        <v>0</v>
      </c>
      <c r="K47" s="59">
        <v>7.3</v>
      </c>
      <c r="L47" s="58"/>
      <c r="M47" s="68"/>
    </row>
    <row r="48" spans="1:13" s="12" customFormat="1" ht="15.75" customHeight="1" x14ac:dyDescent="0.2">
      <c r="A48" s="23" t="s">
        <v>88</v>
      </c>
      <c r="B48" s="23" t="s">
        <v>89</v>
      </c>
      <c r="C48" s="23" t="s">
        <v>17</v>
      </c>
      <c r="D48" s="23" t="s">
        <v>342</v>
      </c>
      <c r="E48" s="4">
        <v>414.229322696</v>
      </c>
      <c r="F48" s="59">
        <v>298.2</v>
      </c>
      <c r="G48" s="59">
        <v>48.5</v>
      </c>
      <c r="H48" s="59">
        <v>0</v>
      </c>
      <c r="I48" s="59">
        <v>0</v>
      </c>
      <c r="J48" s="59">
        <v>0</v>
      </c>
      <c r="K48" s="59">
        <v>48.5</v>
      </c>
      <c r="L48" s="58"/>
      <c r="M48" s="68"/>
    </row>
    <row r="49" spans="1:13" s="12" customFormat="1" ht="15.75" customHeight="1" x14ac:dyDescent="0.2">
      <c r="A49" s="23" t="s">
        <v>90</v>
      </c>
      <c r="B49" s="23" t="s">
        <v>91</v>
      </c>
      <c r="C49" s="23" t="s">
        <v>17</v>
      </c>
      <c r="D49" s="23" t="s">
        <v>342</v>
      </c>
      <c r="E49" s="4">
        <v>716.04483111000002</v>
      </c>
      <c r="F49" s="59">
        <v>118.1</v>
      </c>
      <c r="G49" s="59">
        <v>20.8</v>
      </c>
      <c r="H49" s="59">
        <v>0</v>
      </c>
      <c r="I49" s="59">
        <v>0</v>
      </c>
      <c r="J49" s="59">
        <v>-1.4</v>
      </c>
      <c r="K49" s="59">
        <v>19.399999999999999</v>
      </c>
      <c r="L49" s="58"/>
      <c r="M49" s="68"/>
    </row>
    <row r="50" spans="1:13" s="12" customFormat="1" ht="15.75" customHeight="1" x14ac:dyDescent="0.2">
      <c r="A50" s="23" t="s">
        <v>92</v>
      </c>
      <c r="B50" s="23" t="s">
        <v>93</v>
      </c>
      <c r="C50" s="23" t="s">
        <v>17</v>
      </c>
      <c r="D50" s="23" t="s">
        <v>343</v>
      </c>
      <c r="E50" s="4">
        <v>810.29527654999993</v>
      </c>
      <c r="F50" s="59">
        <v>162.1</v>
      </c>
      <c r="G50" s="59">
        <v>29.7</v>
      </c>
      <c r="H50" s="59">
        <v>0</v>
      </c>
      <c r="I50" s="59">
        <v>0</v>
      </c>
      <c r="J50" s="59">
        <v>0</v>
      </c>
      <c r="K50" s="59">
        <v>29.7</v>
      </c>
      <c r="L50" s="58"/>
      <c r="M50" s="68"/>
    </row>
    <row r="51" spans="1:13" s="12" customFormat="1" ht="15.75" customHeight="1" x14ac:dyDescent="0.2">
      <c r="A51" s="23" t="s">
        <v>94</v>
      </c>
      <c r="B51" s="23" t="s">
        <v>95</v>
      </c>
      <c r="C51" s="23" t="s">
        <v>344</v>
      </c>
      <c r="D51" s="23" t="s">
        <v>340</v>
      </c>
      <c r="E51" s="4">
        <v>44.264584738799996</v>
      </c>
      <c r="F51" s="59">
        <v>21.7</v>
      </c>
      <c r="G51" s="59">
        <v>2</v>
      </c>
      <c r="H51" s="59">
        <v>0</v>
      </c>
      <c r="I51" s="59">
        <v>2.2999999999999998</v>
      </c>
      <c r="J51" s="59">
        <v>0</v>
      </c>
      <c r="K51" s="59">
        <v>4.3</v>
      </c>
      <c r="L51" s="58"/>
      <c r="M51" s="68"/>
    </row>
    <row r="52" spans="1:13" s="12" customFormat="1" ht="15.75" customHeight="1" x14ac:dyDescent="0.2">
      <c r="A52" s="23" t="s">
        <v>96</v>
      </c>
      <c r="B52" s="21" t="s">
        <v>97</v>
      </c>
      <c r="C52" s="23" t="s">
        <v>344</v>
      </c>
      <c r="D52" s="23" t="s">
        <v>340</v>
      </c>
      <c r="E52" s="4">
        <v>213.64602496399999</v>
      </c>
      <c r="F52" s="59">
        <v>99.3</v>
      </c>
      <c r="G52" s="59">
        <v>27.4</v>
      </c>
      <c r="H52" s="59">
        <v>0</v>
      </c>
      <c r="I52" s="59">
        <v>9.1</v>
      </c>
      <c r="J52" s="59">
        <v>0</v>
      </c>
      <c r="K52" s="59">
        <v>36.5</v>
      </c>
      <c r="L52" s="58"/>
      <c r="M52" s="68"/>
    </row>
    <row r="53" spans="1:13" s="12" customFormat="1" ht="15.75" customHeight="1" x14ac:dyDescent="0.2">
      <c r="A53" s="23" t="s">
        <v>98</v>
      </c>
      <c r="B53" s="23" t="s">
        <v>99</v>
      </c>
      <c r="C53" s="23" t="s">
        <v>344</v>
      </c>
      <c r="D53" s="23" t="s">
        <v>340</v>
      </c>
      <c r="E53" s="4">
        <v>175.60252334899999</v>
      </c>
      <c r="F53" s="59">
        <v>129.9</v>
      </c>
      <c r="G53" s="59">
        <v>26.8</v>
      </c>
      <c r="H53" s="59">
        <v>0</v>
      </c>
      <c r="I53" s="59">
        <v>8.6</v>
      </c>
      <c r="J53" s="59">
        <v>0</v>
      </c>
      <c r="K53" s="59">
        <v>35.4</v>
      </c>
      <c r="L53" s="58"/>
      <c r="M53" s="68"/>
    </row>
    <row r="54" spans="1:13" s="12" customFormat="1" ht="15.75" customHeight="1" x14ac:dyDescent="0.2">
      <c r="A54" s="23" t="s">
        <v>100</v>
      </c>
      <c r="B54" s="23" t="s">
        <v>101</v>
      </c>
      <c r="C54" s="23" t="s">
        <v>344</v>
      </c>
      <c r="D54" s="23" t="s">
        <v>340</v>
      </c>
      <c r="E54" s="4">
        <v>76.757569828299992</v>
      </c>
      <c r="F54" s="59">
        <v>39.5</v>
      </c>
      <c r="G54" s="59">
        <v>2.2999999999999998</v>
      </c>
      <c r="H54" s="59">
        <v>0</v>
      </c>
      <c r="I54" s="59">
        <v>5.7</v>
      </c>
      <c r="J54" s="59">
        <v>0</v>
      </c>
      <c r="K54" s="59">
        <v>8</v>
      </c>
      <c r="L54" s="58"/>
      <c r="M54" s="68"/>
    </row>
    <row r="55" spans="1:13" s="12" customFormat="1" ht="15.75" customHeight="1" x14ac:dyDescent="0.2">
      <c r="A55" s="23" t="s">
        <v>102</v>
      </c>
      <c r="B55" s="23" t="s">
        <v>103</v>
      </c>
      <c r="C55" s="23" t="s">
        <v>344</v>
      </c>
      <c r="D55" s="23" t="s">
        <v>340</v>
      </c>
      <c r="E55" s="4">
        <v>163.26920360299999</v>
      </c>
      <c r="F55" s="59">
        <v>93.9</v>
      </c>
      <c r="G55" s="59">
        <v>25.8</v>
      </c>
      <c r="H55" s="59">
        <v>0</v>
      </c>
      <c r="I55" s="59">
        <v>3.8</v>
      </c>
      <c r="J55" s="59">
        <v>0</v>
      </c>
      <c r="K55" s="59">
        <v>29.6</v>
      </c>
      <c r="L55" s="58">
        <v>15.77</v>
      </c>
      <c r="M55" s="68" t="s">
        <v>314</v>
      </c>
    </row>
    <row r="56" spans="1:13" s="12" customFormat="1" ht="15.75" customHeight="1" x14ac:dyDescent="0.2">
      <c r="A56" s="23" t="s">
        <v>104</v>
      </c>
      <c r="B56" s="23" t="s">
        <v>105</v>
      </c>
      <c r="C56" s="23" t="s">
        <v>344</v>
      </c>
      <c r="D56" s="23" t="s">
        <v>340</v>
      </c>
      <c r="E56" s="4">
        <v>104.133167055</v>
      </c>
      <c r="F56" s="59">
        <v>65.099999999999994</v>
      </c>
      <c r="G56" s="59">
        <v>8.3999999999999986</v>
      </c>
      <c r="H56" s="59">
        <v>9.5</v>
      </c>
      <c r="I56" s="59">
        <v>1</v>
      </c>
      <c r="J56" s="59">
        <v>0</v>
      </c>
      <c r="K56" s="59">
        <v>18.899999999999999</v>
      </c>
      <c r="L56" s="58">
        <v>9.4600000000000009</v>
      </c>
      <c r="M56" s="68" t="s">
        <v>315</v>
      </c>
    </row>
    <row r="57" spans="1:13" s="12" customFormat="1" ht="15.75" customHeight="1" x14ac:dyDescent="0.2">
      <c r="A57" s="23" t="s">
        <v>106</v>
      </c>
      <c r="B57" s="23" t="s">
        <v>107</v>
      </c>
      <c r="C57" s="23" t="s">
        <v>344</v>
      </c>
      <c r="D57" s="23" t="s">
        <v>340</v>
      </c>
      <c r="E57" s="4">
        <v>37.3390289783</v>
      </c>
      <c r="F57" s="59">
        <v>11.3</v>
      </c>
      <c r="G57" s="59">
        <v>2.4</v>
      </c>
      <c r="H57" s="59">
        <v>4.0999999999999996</v>
      </c>
      <c r="I57" s="59">
        <v>3.0000000000000004</v>
      </c>
      <c r="J57" s="59">
        <v>0</v>
      </c>
      <c r="K57" s="59">
        <v>9.5</v>
      </c>
      <c r="L57" s="58">
        <v>7.08</v>
      </c>
      <c r="M57" s="68" t="s">
        <v>316</v>
      </c>
    </row>
    <row r="58" spans="1:13" s="12" customFormat="1" ht="15.75" customHeight="1" x14ac:dyDescent="0.2">
      <c r="A58" s="23" t="s">
        <v>108</v>
      </c>
      <c r="B58" s="23" t="s">
        <v>109</v>
      </c>
      <c r="C58" s="23" t="s">
        <v>344</v>
      </c>
      <c r="D58" s="23" t="s">
        <v>340</v>
      </c>
      <c r="E58" s="4">
        <v>75.282635308799996</v>
      </c>
      <c r="F58" s="59">
        <v>37.299999999999997</v>
      </c>
      <c r="G58" s="59">
        <v>3.3</v>
      </c>
      <c r="H58" s="59">
        <v>0</v>
      </c>
      <c r="I58" s="59">
        <v>7</v>
      </c>
      <c r="J58" s="59">
        <v>0</v>
      </c>
      <c r="K58" s="59">
        <v>10.4</v>
      </c>
      <c r="L58" s="58"/>
      <c r="M58" s="68"/>
    </row>
    <row r="59" spans="1:13" s="12" customFormat="1" ht="15.75" customHeight="1" x14ac:dyDescent="0.2">
      <c r="A59" s="23" t="s">
        <v>110</v>
      </c>
      <c r="B59" s="23" t="s">
        <v>111</v>
      </c>
      <c r="C59" s="23" t="s">
        <v>344</v>
      </c>
      <c r="D59" s="23" t="s">
        <v>340</v>
      </c>
      <c r="E59" s="4">
        <v>18.291050894900003</v>
      </c>
      <c r="F59" s="59">
        <v>19.100000000000001</v>
      </c>
      <c r="G59" s="59">
        <v>1.1000000000000001</v>
      </c>
      <c r="H59" s="59">
        <v>0</v>
      </c>
      <c r="I59" s="59">
        <v>3.7</v>
      </c>
      <c r="J59" s="59">
        <v>0</v>
      </c>
      <c r="K59" s="59">
        <v>4.8</v>
      </c>
      <c r="L59" s="58"/>
      <c r="M59" s="68"/>
    </row>
    <row r="60" spans="1:13" s="12" customFormat="1" ht="15.75" customHeight="1" x14ac:dyDescent="0.2">
      <c r="A60" s="23" t="s">
        <v>112</v>
      </c>
      <c r="B60" s="23" t="s">
        <v>113</v>
      </c>
      <c r="C60" s="23" t="s">
        <v>344</v>
      </c>
      <c r="D60" s="23" t="s">
        <v>340</v>
      </c>
      <c r="E60" s="4">
        <v>71.787045534000001</v>
      </c>
      <c r="F60" s="59">
        <v>44.2</v>
      </c>
      <c r="G60" s="59">
        <v>15.6</v>
      </c>
      <c r="H60" s="59">
        <v>0</v>
      </c>
      <c r="I60" s="59">
        <v>3.6</v>
      </c>
      <c r="J60" s="59">
        <v>0</v>
      </c>
      <c r="K60" s="59">
        <v>19.3</v>
      </c>
      <c r="L60" s="58"/>
      <c r="M60" s="68"/>
    </row>
    <row r="61" spans="1:13" s="12" customFormat="1" ht="15.75" customHeight="1" x14ac:dyDescent="0.2">
      <c r="A61" s="23" t="s">
        <v>114</v>
      </c>
      <c r="B61" s="23" t="s">
        <v>115</v>
      </c>
      <c r="C61" s="23" t="s">
        <v>344</v>
      </c>
      <c r="D61" s="23" t="s">
        <v>340</v>
      </c>
      <c r="E61" s="4">
        <v>33.220367043900005</v>
      </c>
      <c r="F61" s="59">
        <v>44.2</v>
      </c>
      <c r="G61" s="59">
        <v>2</v>
      </c>
      <c r="H61" s="59">
        <v>0</v>
      </c>
      <c r="I61" s="59">
        <v>7.8</v>
      </c>
      <c r="J61" s="59">
        <v>0</v>
      </c>
      <c r="K61" s="59">
        <v>9.8000000000000007</v>
      </c>
      <c r="L61" s="58"/>
      <c r="M61" s="68"/>
    </row>
    <row r="62" spans="1:13" s="12" customFormat="1" ht="15.75" customHeight="1" x14ac:dyDescent="0.2">
      <c r="A62" s="23" t="s">
        <v>116</v>
      </c>
      <c r="B62" s="23" t="s">
        <v>117</v>
      </c>
      <c r="C62" s="23" t="s">
        <v>344</v>
      </c>
      <c r="D62" s="23" t="s">
        <v>340</v>
      </c>
      <c r="E62" s="4">
        <v>32.791113265999996</v>
      </c>
      <c r="F62" s="59">
        <v>40</v>
      </c>
      <c r="G62" s="59">
        <v>2</v>
      </c>
      <c r="H62" s="59">
        <v>9.1999999999999993</v>
      </c>
      <c r="I62" s="59">
        <v>0.6</v>
      </c>
      <c r="J62" s="59">
        <v>0</v>
      </c>
      <c r="K62" s="59">
        <v>11.8</v>
      </c>
      <c r="L62" s="58">
        <v>9.1999999999999993</v>
      </c>
      <c r="M62" s="68" t="s">
        <v>317</v>
      </c>
    </row>
    <row r="63" spans="1:13" s="12" customFormat="1" ht="15.75" customHeight="1" x14ac:dyDescent="0.2">
      <c r="A63" s="23" t="s">
        <v>118</v>
      </c>
      <c r="B63" s="23" t="s">
        <v>119</v>
      </c>
      <c r="C63" s="23" t="s">
        <v>17</v>
      </c>
      <c r="D63" s="23" t="s">
        <v>341</v>
      </c>
      <c r="E63" s="4">
        <v>121.468234997</v>
      </c>
      <c r="F63" s="59">
        <v>26.7</v>
      </c>
      <c r="G63" s="59">
        <v>4.3</v>
      </c>
      <c r="H63" s="59">
        <v>0</v>
      </c>
      <c r="I63" s="59">
        <v>0</v>
      </c>
      <c r="J63" s="59">
        <v>0</v>
      </c>
      <c r="K63" s="59">
        <v>4.3</v>
      </c>
      <c r="L63" s="58"/>
      <c r="M63" s="68"/>
    </row>
    <row r="64" spans="1:13" s="12" customFormat="1" ht="15.75" customHeight="1" x14ac:dyDescent="0.2">
      <c r="A64" s="23" t="s">
        <v>120</v>
      </c>
      <c r="B64" s="23" t="s">
        <v>121</v>
      </c>
      <c r="C64" s="23" t="s">
        <v>17</v>
      </c>
      <c r="D64" s="23" t="s">
        <v>341</v>
      </c>
      <c r="E64" s="4">
        <v>204.56772568900001</v>
      </c>
      <c r="F64" s="59">
        <v>53.2</v>
      </c>
      <c r="G64" s="59">
        <v>10.199999999999999</v>
      </c>
      <c r="H64" s="59">
        <v>0</v>
      </c>
      <c r="I64" s="59">
        <v>0</v>
      </c>
      <c r="J64" s="59">
        <v>-2.5</v>
      </c>
      <c r="K64" s="59">
        <v>7.7</v>
      </c>
      <c r="L64" s="58"/>
      <c r="M64" s="68"/>
    </row>
    <row r="65" spans="1:13" s="12" customFormat="1" ht="15.75" customHeight="1" x14ac:dyDescent="0.2">
      <c r="A65" s="23" t="s">
        <v>122</v>
      </c>
      <c r="B65" s="23" t="s">
        <v>123</v>
      </c>
      <c r="C65" s="23" t="s">
        <v>17</v>
      </c>
      <c r="D65" s="23" t="s">
        <v>341</v>
      </c>
      <c r="E65" s="4">
        <v>2142.8253752000001</v>
      </c>
      <c r="F65" s="59">
        <v>1119.9000000000001</v>
      </c>
      <c r="G65" s="59">
        <v>198.7</v>
      </c>
      <c r="H65" s="59">
        <v>0</v>
      </c>
      <c r="I65" s="59">
        <v>0</v>
      </c>
      <c r="J65" s="59">
        <v>-17.100000000000001</v>
      </c>
      <c r="K65" s="59">
        <v>181.6</v>
      </c>
      <c r="L65" s="58"/>
      <c r="M65" s="68"/>
    </row>
    <row r="66" spans="1:13" s="12" customFormat="1" ht="15.75" customHeight="1" x14ac:dyDescent="0.2">
      <c r="A66" s="23" t="s">
        <v>124</v>
      </c>
      <c r="B66" s="23" t="s">
        <v>125</v>
      </c>
      <c r="C66" s="23" t="s">
        <v>17</v>
      </c>
      <c r="D66" s="23" t="s">
        <v>343</v>
      </c>
      <c r="E66" s="4">
        <v>18.288654949228999</v>
      </c>
      <c r="F66" s="59">
        <v>2.6</v>
      </c>
      <c r="G66" s="59">
        <v>0.3</v>
      </c>
      <c r="H66" s="59">
        <v>0</v>
      </c>
      <c r="I66" s="59">
        <v>0</v>
      </c>
      <c r="J66" s="59">
        <v>0</v>
      </c>
      <c r="K66" s="59">
        <v>0.3</v>
      </c>
      <c r="L66" s="58"/>
      <c r="M66" s="68"/>
    </row>
    <row r="67" spans="1:13" s="12" customFormat="1" ht="15.75" customHeight="1" x14ac:dyDescent="0.2">
      <c r="A67" s="23" t="s">
        <v>126</v>
      </c>
      <c r="B67" s="23" t="s">
        <v>127</v>
      </c>
      <c r="C67" s="23" t="s">
        <v>17</v>
      </c>
      <c r="D67" s="23" t="s">
        <v>342</v>
      </c>
      <c r="E67" s="4">
        <v>921.11377425348007</v>
      </c>
      <c r="F67" s="59">
        <v>95.4</v>
      </c>
      <c r="G67" s="59">
        <v>14.2</v>
      </c>
      <c r="H67" s="59">
        <v>0</v>
      </c>
      <c r="I67" s="59">
        <v>0</v>
      </c>
      <c r="J67" s="59">
        <v>0</v>
      </c>
      <c r="K67" s="59">
        <v>14.2</v>
      </c>
      <c r="L67" s="58"/>
      <c r="M67" s="68"/>
    </row>
    <row r="68" spans="1:13" s="12" customFormat="1" ht="15.75" customHeight="1" x14ac:dyDescent="0.2">
      <c r="A68" s="23" t="s">
        <v>128</v>
      </c>
      <c r="B68" s="23" t="s">
        <v>129</v>
      </c>
      <c r="C68" s="23" t="s">
        <v>17</v>
      </c>
      <c r="D68" s="23" t="s">
        <v>343</v>
      </c>
      <c r="E68" s="4">
        <v>380.81082093000003</v>
      </c>
      <c r="F68" s="59">
        <v>26.6</v>
      </c>
      <c r="G68" s="59">
        <v>2.2999999999999998</v>
      </c>
      <c r="H68" s="59">
        <v>0</v>
      </c>
      <c r="I68" s="59">
        <v>0</v>
      </c>
      <c r="J68" s="59">
        <v>0</v>
      </c>
      <c r="K68" s="59">
        <v>2.2999999999999998</v>
      </c>
      <c r="L68" s="58"/>
      <c r="M68" s="68"/>
    </row>
    <row r="69" spans="1:13" s="12" customFormat="1" ht="15.75" customHeight="1" x14ac:dyDescent="0.2">
      <c r="A69" s="23" t="s">
        <v>130</v>
      </c>
      <c r="B69" s="23" t="s">
        <v>131</v>
      </c>
      <c r="C69" s="23" t="s">
        <v>17</v>
      </c>
      <c r="D69" s="23" t="s">
        <v>342</v>
      </c>
      <c r="E69" s="4">
        <v>82.288863093799989</v>
      </c>
      <c r="F69" s="59">
        <v>10.7</v>
      </c>
      <c r="G69" s="59">
        <v>3</v>
      </c>
      <c r="H69" s="59">
        <v>0</v>
      </c>
      <c r="I69" s="59">
        <v>0</v>
      </c>
      <c r="J69" s="59">
        <v>0</v>
      </c>
      <c r="K69" s="59">
        <v>3</v>
      </c>
      <c r="L69" s="58"/>
      <c r="M69" s="68"/>
    </row>
    <row r="70" spans="1:13" s="12" customFormat="1" ht="15.75" customHeight="1" x14ac:dyDescent="0.2">
      <c r="A70" s="23" t="s">
        <v>132</v>
      </c>
      <c r="B70" s="23" t="s">
        <v>133</v>
      </c>
      <c r="C70" s="23" t="s">
        <v>17</v>
      </c>
      <c r="D70" s="23" t="s">
        <v>341</v>
      </c>
      <c r="E70" s="4">
        <v>568.88712900100006</v>
      </c>
      <c r="F70" s="59">
        <v>102.4</v>
      </c>
      <c r="G70" s="59">
        <v>29.6</v>
      </c>
      <c r="H70" s="59">
        <v>0</v>
      </c>
      <c r="I70" s="59">
        <v>0</v>
      </c>
      <c r="J70" s="59">
        <v>0</v>
      </c>
      <c r="K70" s="59">
        <v>29.6</v>
      </c>
      <c r="L70" s="58"/>
      <c r="M70" s="68"/>
    </row>
    <row r="71" spans="1:13" s="12" customFormat="1" ht="15.75" customHeight="1" x14ac:dyDescent="0.2">
      <c r="A71" s="23" t="s">
        <v>134</v>
      </c>
      <c r="B71" s="23" t="s">
        <v>135</v>
      </c>
      <c r="C71" s="23" t="s">
        <v>17</v>
      </c>
      <c r="D71" s="23" t="s">
        <v>342</v>
      </c>
      <c r="E71" s="4">
        <v>63.868097293200002</v>
      </c>
      <c r="F71" s="59">
        <v>9</v>
      </c>
      <c r="G71" s="59">
        <v>2.4</v>
      </c>
      <c r="H71" s="59">
        <v>0</v>
      </c>
      <c r="I71" s="59">
        <v>0</v>
      </c>
      <c r="J71" s="59">
        <v>-0.9</v>
      </c>
      <c r="K71" s="59">
        <v>1.4</v>
      </c>
      <c r="L71" s="58"/>
      <c r="M71" s="68"/>
    </row>
    <row r="72" spans="1:13" s="12" customFormat="1" ht="15.75" customHeight="1" x14ac:dyDescent="0.2">
      <c r="A72" s="23" t="s">
        <v>136</v>
      </c>
      <c r="B72" s="23" t="s">
        <v>137</v>
      </c>
      <c r="C72" s="23" t="s">
        <v>17</v>
      </c>
      <c r="D72" s="23" t="s">
        <v>342</v>
      </c>
      <c r="E72" s="4">
        <v>1366.8114814734909</v>
      </c>
      <c r="F72" s="59">
        <v>68.3</v>
      </c>
      <c r="G72" s="59">
        <v>9.6</v>
      </c>
      <c r="H72" s="59">
        <v>0</v>
      </c>
      <c r="I72" s="59">
        <v>0</v>
      </c>
      <c r="J72" s="59">
        <v>0</v>
      </c>
      <c r="K72" s="59">
        <v>9.6</v>
      </c>
      <c r="L72" s="58"/>
      <c r="M72" s="68"/>
    </row>
    <row r="73" spans="1:13" s="12" customFormat="1" ht="15.75" customHeight="1" x14ac:dyDescent="0.2">
      <c r="A73" s="23" t="s">
        <v>138</v>
      </c>
      <c r="B73" s="23" t="s">
        <v>318</v>
      </c>
      <c r="C73" s="23" t="s">
        <v>17</v>
      </c>
      <c r="D73" s="23" t="s">
        <v>343</v>
      </c>
      <c r="E73" s="4">
        <v>2008.0064905300001</v>
      </c>
      <c r="F73" s="59">
        <v>62.900000000000006</v>
      </c>
      <c r="G73" s="59">
        <v>9.9</v>
      </c>
      <c r="H73" s="59">
        <v>2.7</v>
      </c>
      <c r="I73" s="59">
        <v>0</v>
      </c>
      <c r="J73" s="59">
        <v>0</v>
      </c>
      <c r="K73" s="59">
        <v>12.6</v>
      </c>
      <c r="L73" s="58">
        <v>2.7</v>
      </c>
      <c r="M73" s="68" t="s">
        <v>319</v>
      </c>
    </row>
    <row r="74" spans="1:13" s="12" customFormat="1" ht="15.75" customHeight="1" x14ac:dyDescent="0.2">
      <c r="A74" s="23" t="s">
        <v>140</v>
      </c>
      <c r="B74" s="23" t="s">
        <v>141</v>
      </c>
      <c r="C74" s="23" t="s">
        <v>344</v>
      </c>
      <c r="D74" s="23" t="s">
        <v>340</v>
      </c>
      <c r="E74" s="4">
        <v>162.968064454</v>
      </c>
      <c r="F74" s="59">
        <v>68.5</v>
      </c>
      <c r="G74" s="59">
        <v>8.6</v>
      </c>
      <c r="H74" s="59">
        <v>0</v>
      </c>
      <c r="I74" s="59">
        <v>14.1</v>
      </c>
      <c r="J74" s="59">
        <v>0</v>
      </c>
      <c r="K74" s="59">
        <v>22.7</v>
      </c>
      <c r="L74" s="58">
        <v>6.3</v>
      </c>
      <c r="M74" s="68" t="s">
        <v>320</v>
      </c>
    </row>
    <row r="75" spans="1:13" s="12" customFormat="1" ht="15.75" customHeight="1" x14ac:dyDescent="0.2">
      <c r="A75" s="23" t="s">
        <v>142</v>
      </c>
      <c r="B75" s="23" t="s">
        <v>321</v>
      </c>
      <c r="C75" s="23" t="s">
        <v>344</v>
      </c>
      <c r="D75" s="23" t="s">
        <v>340</v>
      </c>
      <c r="E75" s="4">
        <v>165.888538256</v>
      </c>
      <c r="F75" s="59">
        <v>94.6</v>
      </c>
      <c r="G75" s="59">
        <v>5.8</v>
      </c>
      <c r="H75" s="59">
        <v>26.6</v>
      </c>
      <c r="I75" s="59">
        <v>0</v>
      </c>
      <c r="J75" s="59">
        <v>0</v>
      </c>
      <c r="K75" s="59">
        <v>32.4</v>
      </c>
      <c r="L75" s="58">
        <v>25.51</v>
      </c>
      <c r="M75" s="68" t="s">
        <v>322</v>
      </c>
    </row>
    <row r="76" spans="1:13" s="12" customFormat="1" ht="15.75" customHeight="1" x14ac:dyDescent="0.2">
      <c r="A76" s="23" t="s">
        <v>144</v>
      </c>
      <c r="B76" s="23" t="s">
        <v>145</v>
      </c>
      <c r="C76" s="23" t="s">
        <v>344</v>
      </c>
      <c r="D76" s="23" t="s">
        <v>340</v>
      </c>
      <c r="E76" s="4">
        <v>103.33287971199999</v>
      </c>
      <c r="F76" s="59">
        <v>39.299999999999997</v>
      </c>
      <c r="G76" s="59">
        <v>10.199999999999999</v>
      </c>
      <c r="H76" s="59">
        <v>6.5</v>
      </c>
      <c r="I76" s="59">
        <v>0</v>
      </c>
      <c r="J76" s="59">
        <v>0</v>
      </c>
      <c r="K76" s="59">
        <v>16.7</v>
      </c>
      <c r="L76" s="58">
        <v>6.46</v>
      </c>
      <c r="M76" s="68" t="s">
        <v>323</v>
      </c>
    </row>
    <row r="77" spans="1:13" s="12" customFormat="1" ht="15.75" customHeight="1" x14ac:dyDescent="0.2">
      <c r="A77" s="23" t="s">
        <v>146</v>
      </c>
      <c r="B77" s="23" t="s">
        <v>324</v>
      </c>
      <c r="C77" s="23" t="s">
        <v>344</v>
      </c>
      <c r="D77" s="23" t="s">
        <v>340</v>
      </c>
      <c r="E77" s="4">
        <v>105.963633887</v>
      </c>
      <c r="F77" s="59">
        <v>51.9</v>
      </c>
      <c r="G77" s="59">
        <v>6.2</v>
      </c>
      <c r="H77" s="59">
        <v>0</v>
      </c>
      <c r="I77" s="59">
        <v>12.9</v>
      </c>
      <c r="J77" s="59">
        <v>0</v>
      </c>
      <c r="K77" s="59">
        <v>19.2</v>
      </c>
      <c r="L77" s="58">
        <v>6.04</v>
      </c>
      <c r="M77" s="68" t="s">
        <v>325</v>
      </c>
    </row>
    <row r="78" spans="1:13" s="12" customFormat="1" ht="12.75" x14ac:dyDescent="0.2">
      <c r="A78" s="23" t="s">
        <v>148</v>
      </c>
      <c r="B78" s="23" t="s">
        <v>326</v>
      </c>
      <c r="C78" s="23" t="s">
        <v>344</v>
      </c>
      <c r="D78" s="23" t="s">
        <v>340</v>
      </c>
      <c r="E78" s="4">
        <v>43.447685422700005</v>
      </c>
      <c r="F78" s="59">
        <v>39.5</v>
      </c>
      <c r="G78" s="59">
        <v>3.7</v>
      </c>
      <c r="H78" s="59">
        <v>21.6</v>
      </c>
      <c r="I78" s="59">
        <v>0</v>
      </c>
      <c r="J78" s="59">
        <v>0</v>
      </c>
      <c r="K78" s="59">
        <v>25.3</v>
      </c>
      <c r="L78" s="58">
        <v>21.6</v>
      </c>
      <c r="M78" s="68" t="s">
        <v>454</v>
      </c>
    </row>
    <row r="79" spans="1:13" s="12" customFormat="1" ht="15.75" customHeight="1" x14ac:dyDescent="0.2">
      <c r="A79" s="23" t="s">
        <v>150</v>
      </c>
      <c r="B79" s="23" t="s">
        <v>327</v>
      </c>
      <c r="C79" s="23" t="s">
        <v>344</v>
      </c>
      <c r="D79" s="23" t="s">
        <v>340</v>
      </c>
      <c r="E79" s="4">
        <v>75.534964571700002</v>
      </c>
      <c r="F79" s="59">
        <v>49.8</v>
      </c>
      <c r="G79" s="59">
        <v>4.5</v>
      </c>
      <c r="H79" s="59">
        <v>0</v>
      </c>
      <c r="I79" s="59">
        <v>12.4</v>
      </c>
      <c r="J79" s="59">
        <v>0</v>
      </c>
      <c r="K79" s="59">
        <v>17</v>
      </c>
      <c r="L79" s="58">
        <v>0.55000000000000004</v>
      </c>
      <c r="M79" s="68" t="s">
        <v>320</v>
      </c>
    </row>
    <row r="80" spans="1:13" s="12" customFormat="1" ht="15.75" customHeight="1" x14ac:dyDescent="0.2">
      <c r="A80" s="23" t="s">
        <v>152</v>
      </c>
      <c r="B80" s="23" t="s">
        <v>328</v>
      </c>
      <c r="C80" s="23" t="s">
        <v>344</v>
      </c>
      <c r="D80" s="23" t="s">
        <v>340</v>
      </c>
      <c r="E80" s="4">
        <v>192.53452144299999</v>
      </c>
      <c r="F80" s="59">
        <v>67.400000000000006</v>
      </c>
      <c r="G80" s="59">
        <v>10.7</v>
      </c>
      <c r="H80" s="59">
        <v>9.8000000000000007</v>
      </c>
      <c r="I80" s="59">
        <v>0</v>
      </c>
      <c r="J80" s="59">
        <v>0</v>
      </c>
      <c r="K80" s="59">
        <v>20.6</v>
      </c>
      <c r="L80" s="58">
        <v>9.8000000000000007</v>
      </c>
      <c r="M80" s="68" t="s">
        <v>329</v>
      </c>
    </row>
    <row r="81" spans="1:13" s="12" customFormat="1" ht="15.75" customHeight="1" x14ac:dyDescent="0.2">
      <c r="A81" s="23" t="s">
        <v>154</v>
      </c>
      <c r="B81" s="23" t="s">
        <v>155</v>
      </c>
      <c r="C81" s="23" t="s">
        <v>344</v>
      </c>
      <c r="D81" s="23" t="s">
        <v>340</v>
      </c>
      <c r="E81" s="4">
        <v>78.4308737124</v>
      </c>
      <c r="F81" s="59">
        <v>32.1</v>
      </c>
      <c r="G81" s="59">
        <v>2.7</v>
      </c>
      <c r="H81" s="59">
        <v>0</v>
      </c>
      <c r="I81" s="59">
        <v>3.5</v>
      </c>
      <c r="J81" s="59">
        <v>0</v>
      </c>
      <c r="K81" s="59">
        <v>6.2</v>
      </c>
      <c r="L81" s="58"/>
      <c r="M81" s="68"/>
    </row>
    <row r="82" spans="1:13" s="12" customFormat="1" ht="15.75" customHeight="1" x14ac:dyDescent="0.2">
      <c r="A82" s="23" t="s">
        <v>156</v>
      </c>
      <c r="B82" s="23" t="s">
        <v>157</v>
      </c>
      <c r="C82" s="23" t="s">
        <v>344</v>
      </c>
      <c r="D82" s="23" t="s">
        <v>340</v>
      </c>
      <c r="E82" s="4">
        <v>63.315356731100003</v>
      </c>
      <c r="F82" s="59">
        <v>18.7</v>
      </c>
      <c r="G82" s="59">
        <v>1.9</v>
      </c>
      <c r="H82" s="59">
        <v>0</v>
      </c>
      <c r="I82" s="59">
        <v>2.7</v>
      </c>
      <c r="J82" s="59">
        <v>0</v>
      </c>
      <c r="K82" s="59">
        <v>4.5999999999999996</v>
      </c>
      <c r="L82" s="58"/>
      <c r="M82" s="68"/>
    </row>
    <row r="83" spans="1:13" s="12" customFormat="1" ht="15.75" customHeight="1" x14ac:dyDescent="0.2">
      <c r="A83" s="23" t="s">
        <v>158</v>
      </c>
      <c r="B83" s="23" t="s">
        <v>159</v>
      </c>
      <c r="C83" s="23" t="s">
        <v>17</v>
      </c>
      <c r="D83" s="23" t="s">
        <v>342</v>
      </c>
      <c r="E83" s="4">
        <v>365.404013152</v>
      </c>
      <c r="F83" s="59">
        <v>87.7</v>
      </c>
      <c r="G83" s="59">
        <v>14.3</v>
      </c>
      <c r="H83" s="59">
        <v>0</v>
      </c>
      <c r="I83" s="59">
        <v>0</v>
      </c>
      <c r="J83" s="59">
        <v>-2.2999999999999998</v>
      </c>
      <c r="K83" s="59">
        <v>11.9</v>
      </c>
      <c r="L83" s="58"/>
      <c r="M83" s="68"/>
    </row>
    <row r="84" spans="1:13" s="12" customFormat="1" ht="15.75" customHeight="1" x14ac:dyDescent="0.2">
      <c r="A84" s="23" t="s">
        <v>160</v>
      </c>
      <c r="B84" s="23" t="s">
        <v>161</v>
      </c>
      <c r="C84" s="23" t="s">
        <v>17</v>
      </c>
      <c r="D84" s="23" t="s">
        <v>341</v>
      </c>
      <c r="E84" s="4">
        <v>317.44073824544</v>
      </c>
      <c r="F84" s="59">
        <v>142.80000000000001</v>
      </c>
      <c r="G84" s="59">
        <v>25.1</v>
      </c>
      <c r="H84" s="59">
        <v>0</v>
      </c>
      <c r="I84" s="59">
        <v>0</v>
      </c>
      <c r="J84" s="59">
        <v>-2.8</v>
      </c>
      <c r="K84" s="59">
        <v>22.3</v>
      </c>
      <c r="L84" s="58"/>
      <c r="M84" s="68"/>
    </row>
    <row r="85" spans="1:13" s="12" customFormat="1" ht="15.75" customHeight="1" x14ac:dyDescent="0.2">
      <c r="A85" s="23" t="s">
        <v>162</v>
      </c>
      <c r="B85" s="23" t="s">
        <v>163</v>
      </c>
      <c r="C85" s="23" t="s">
        <v>17</v>
      </c>
      <c r="D85" s="23" t="s">
        <v>341</v>
      </c>
      <c r="E85" s="4">
        <v>305.88064275700003</v>
      </c>
      <c r="F85" s="59">
        <v>48.9</v>
      </c>
      <c r="G85" s="59">
        <v>9.1999999999999993</v>
      </c>
      <c r="H85" s="59">
        <v>0</v>
      </c>
      <c r="I85" s="59">
        <v>0</v>
      </c>
      <c r="J85" s="59">
        <v>0</v>
      </c>
      <c r="K85" s="59">
        <v>9.1999999999999993</v>
      </c>
      <c r="L85" s="58"/>
      <c r="M85" s="68"/>
    </row>
    <row r="86" spans="1:13" s="12" customFormat="1" ht="15.75" customHeight="1" x14ac:dyDescent="0.2">
      <c r="A86" s="23" t="s">
        <v>164</v>
      </c>
      <c r="B86" s="23" t="s">
        <v>165</v>
      </c>
      <c r="C86" s="23" t="s">
        <v>17</v>
      </c>
      <c r="D86" s="23" t="s">
        <v>341</v>
      </c>
      <c r="E86" s="4">
        <v>431.40839459830005</v>
      </c>
      <c r="F86" s="59">
        <v>43.1</v>
      </c>
      <c r="G86" s="59">
        <v>10.4</v>
      </c>
      <c r="H86" s="59">
        <v>0</v>
      </c>
      <c r="I86" s="59">
        <v>0</v>
      </c>
      <c r="J86" s="59">
        <v>-1.4</v>
      </c>
      <c r="K86" s="59">
        <v>9</v>
      </c>
      <c r="L86" s="58"/>
      <c r="M86" s="68"/>
    </row>
    <row r="87" spans="1:13" s="12" customFormat="1" ht="15.75" customHeight="1" x14ac:dyDescent="0.2">
      <c r="A87" s="23" t="s">
        <v>166</v>
      </c>
      <c r="B87" s="23" t="s">
        <v>167</v>
      </c>
      <c r="C87" s="23" t="s">
        <v>17</v>
      </c>
      <c r="D87" s="23" t="s">
        <v>342</v>
      </c>
      <c r="E87" s="4">
        <v>1482.0063370099999</v>
      </c>
      <c r="F87" s="59">
        <v>385.3</v>
      </c>
      <c r="G87" s="59">
        <v>63.8</v>
      </c>
      <c r="H87" s="59">
        <v>0</v>
      </c>
      <c r="I87" s="59">
        <v>0</v>
      </c>
      <c r="J87" s="59">
        <v>-10.5</v>
      </c>
      <c r="K87" s="59">
        <v>53.3</v>
      </c>
      <c r="L87" s="58"/>
      <c r="M87" s="68"/>
    </row>
    <row r="88" spans="1:13" s="12" customFormat="1" ht="15.75" customHeight="1" x14ac:dyDescent="0.2">
      <c r="A88" s="23" t="s">
        <v>168</v>
      </c>
      <c r="B88" s="23" t="s">
        <v>169</v>
      </c>
      <c r="C88" s="23" t="s">
        <v>17</v>
      </c>
      <c r="D88" s="23" t="s">
        <v>342</v>
      </c>
      <c r="E88" s="4">
        <v>694.58672192109987</v>
      </c>
      <c r="F88" s="59">
        <v>180.6</v>
      </c>
      <c r="G88" s="59">
        <v>28.5</v>
      </c>
      <c r="H88" s="59">
        <v>0</v>
      </c>
      <c r="I88" s="59">
        <v>0</v>
      </c>
      <c r="J88" s="59">
        <v>-6.5</v>
      </c>
      <c r="K88" s="59">
        <v>22</v>
      </c>
      <c r="L88" s="58"/>
      <c r="M88" s="68"/>
    </row>
    <row r="89" spans="1:13" s="12" customFormat="1" ht="15.75" customHeight="1" x14ac:dyDescent="0.2">
      <c r="A89" s="23" t="s">
        <v>170</v>
      </c>
      <c r="B89" s="23" t="s">
        <v>171</v>
      </c>
      <c r="C89" s="23" t="s">
        <v>17</v>
      </c>
      <c r="D89" s="23" t="s">
        <v>342</v>
      </c>
      <c r="E89" s="4">
        <v>1498.80590203</v>
      </c>
      <c r="F89" s="59">
        <v>509.6</v>
      </c>
      <c r="G89" s="59">
        <v>97.5</v>
      </c>
      <c r="H89" s="59">
        <v>0</v>
      </c>
      <c r="I89" s="59">
        <v>0</v>
      </c>
      <c r="J89" s="59">
        <v>-20.399999999999999</v>
      </c>
      <c r="K89" s="59">
        <v>77.099999999999994</v>
      </c>
      <c r="L89" s="58"/>
      <c r="M89" s="68"/>
    </row>
    <row r="90" spans="1:13" s="12" customFormat="1" ht="15.75" customHeight="1" x14ac:dyDescent="0.2">
      <c r="A90" s="23" t="s">
        <v>172</v>
      </c>
      <c r="B90" s="23" t="s">
        <v>173</v>
      </c>
      <c r="C90" s="23" t="s">
        <v>17</v>
      </c>
      <c r="D90" s="23" t="s">
        <v>341</v>
      </c>
      <c r="E90" s="4">
        <v>483.08498302200002</v>
      </c>
      <c r="F90" s="59">
        <v>244</v>
      </c>
      <c r="G90" s="59">
        <v>35.9</v>
      </c>
      <c r="H90" s="59">
        <v>0</v>
      </c>
      <c r="I90" s="59">
        <v>0</v>
      </c>
      <c r="J90" s="59">
        <v>-2.8</v>
      </c>
      <c r="K90" s="59">
        <v>33</v>
      </c>
      <c r="L90" s="58"/>
      <c r="M90" s="68"/>
    </row>
    <row r="91" spans="1:13" s="12" customFormat="1" ht="15.75" customHeight="1" x14ac:dyDescent="0.2">
      <c r="A91" s="23" t="s">
        <v>174</v>
      </c>
      <c r="B91" s="23" t="s">
        <v>175</v>
      </c>
      <c r="C91" s="23" t="s">
        <v>17</v>
      </c>
      <c r="D91" s="23" t="s">
        <v>342</v>
      </c>
      <c r="E91" s="4">
        <v>250.98637945600001</v>
      </c>
      <c r="F91" s="59">
        <v>77.8</v>
      </c>
      <c r="G91" s="59">
        <v>12.8</v>
      </c>
      <c r="H91" s="59">
        <v>0</v>
      </c>
      <c r="I91" s="59">
        <v>0</v>
      </c>
      <c r="J91" s="59">
        <v>0</v>
      </c>
      <c r="K91" s="59">
        <v>12.8</v>
      </c>
      <c r="L91" s="58"/>
      <c r="M91" s="68"/>
    </row>
    <row r="92" spans="1:13" s="12" customFormat="1" ht="15.75" customHeight="1" x14ac:dyDescent="0.2">
      <c r="A92" s="23" t="s">
        <v>176</v>
      </c>
      <c r="B92" s="23" t="s">
        <v>177</v>
      </c>
      <c r="C92" s="23" t="s">
        <v>17</v>
      </c>
      <c r="D92" s="23" t="s">
        <v>343</v>
      </c>
      <c r="E92" s="4">
        <v>781.72660914949302</v>
      </c>
      <c r="F92" s="59">
        <v>93.8</v>
      </c>
      <c r="G92" s="59">
        <v>16.399999999999999</v>
      </c>
      <c r="H92" s="59">
        <v>0</v>
      </c>
      <c r="I92" s="59">
        <v>0</v>
      </c>
      <c r="J92" s="59">
        <v>-5</v>
      </c>
      <c r="K92" s="59">
        <v>11.4</v>
      </c>
      <c r="L92" s="58"/>
      <c r="M92" s="68"/>
    </row>
    <row r="93" spans="1:13" s="12" customFormat="1" ht="15.75" customHeight="1" x14ac:dyDescent="0.2">
      <c r="A93" s="23" t="s">
        <v>178</v>
      </c>
      <c r="B93" s="23" t="s">
        <v>179</v>
      </c>
      <c r="C93" s="23" t="s">
        <v>344</v>
      </c>
      <c r="D93" s="23" t="s">
        <v>340</v>
      </c>
      <c r="E93" s="4">
        <v>56.110174062200002</v>
      </c>
      <c r="F93" s="59">
        <v>16.3</v>
      </c>
      <c r="G93" s="59">
        <v>1.7</v>
      </c>
      <c r="H93" s="59">
        <v>0</v>
      </c>
      <c r="I93" s="59">
        <v>3.1</v>
      </c>
      <c r="J93" s="59">
        <v>0</v>
      </c>
      <c r="K93" s="59">
        <v>4.9000000000000004</v>
      </c>
      <c r="L93" s="58"/>
      <c r="M93" s="68"/>
    </row>
    <row r="94" spans="1:13" s="12" customFormat="1" ht="15.75" customHeight="1" x14ac:dyDescent="0.2">
      <c r="A94" s="23" t="s">
        <v>180</v>
      </c>
      <c r="B94" s="23" t="s">
        <v>181</v>
      </c>
      <c r="C94" s="23" t="s">
        <v>344</v>
      </c>
      <c r="D94" s="23" t="s">
        <v>340</v>
      </c>
      <c r="E94" s="4">
        <v>16.693997148200001</v>
      </c>
      <c r="F94" s="59">
        <v>6.9</v>
      </c>
      <c r="G94" s="59">
        <v>0.3</v>
      </c>
      <c r="H94" s="59">
        <v>0</v>
      </c>
      <c r="I94" s="59">
        <v>1.4</v>
      </c>
      <c r="J94" s="59">
        <v>0</v>
      </c>
      <c r="K94" s="59">
        <v>1.7</v>
      </c>
      <c r="L94" s="58"/>
      <c r="M94" s="68"/>
    </row>
    <row r="95" spans="1:13" s="12" customFormat="1" ht="15.75" customHeight="1" x14ac:dyDescent="0.2">
      <c r="A95" s="23" t="s">
        <v>182</v>
      </c>
      <c r="B95" s="23" t="s">
        <v>183</v>
      </c>
      <c r="C95" s="23" t="s">
        <v>17</v>
      </c>
      <c r="D95" s="23" t="s">
        <v>343</v>
      </c>
      <c r="E95" s="4">
        <v>165.14988092570002</v>
      </c>
      <c r="F95" s="59">
        <v>11.5</v>
      </c>
      <c r="G95" s="59">
        <v>2</v>
      </c>
      <c r="H95" s="59">
        <v>0</v>
      </c>
      <c r="I95" s="59">
        <v>0</v>
      </c>
      <c r="J95" s="59">
        <v>0</v>
      </c>
      <c r="K95" s="59">
        <v>2</v>
      </c>
      <c r="L95" s="58"/>
      <c r="M95" s="68"/>
    </row>
    <row r="96" spans="1:13" s="12" customFormat="1" ht="15.75" customHeight="1" x14ac:dyDescent="0.2">
      <c r="A96" s="23" t="s">
        <v>184</v>
      </c>
      <c r="B96" s="23" t="s">
        <v>185</v>
      </c>
      <c r="C96" s="23" t="s">
        <v>344</v>
      </c>
      <c r="D96" s="23" t="s">
        <v>340</v>
      </c>
      <c r="E96" s="4">
        <v>95.76053650210001</v>
      </c>
      <c r="F96" s="59">
        <v>18.7</v>
      </c>
      <c r="G96" s="59">
        <v>2.1</v>
      </c>
      <c r="H96" s="59">
        <v>1.2</v>
      </c>
      <c r="I96" s="59">
        <v>2.2999999999999998</v>
      </c>
      <c r="J96" s="59">
        <v>0</v>
      </c>
      <c r="K96" s="59">
        <v>5.6</v>
      </c>
      <c r="L96" s="58">
        <v>1.2</v>
      </c>
      <c r="M96" s="68" t="s">
        <v>330</v>
      </c>
    </row>
    <row r="97" spans="1:13" s="12" customFormat="1" ht="15.75" customHeight="1" x14ac:dyDescent="0.2">
      <c r="A97" s="23" t="s">
        <v>186</v>
      </c>
      <c r="B97" s="23" t="s">
        <v>187</v>
      </c>
      <c r="C97" s="23" t="s">
        <v>344</v>
      </c>
      <c r="D97" s="23" t="s">
        <v>340</v>
      </c>
      <c r="E97" s="4">
        <v>80.688211406400001</v>
      </c>
      <c r="F97" s="59">
        <v>18.2</v>
      </c>
      <c r="G97" s="59">
        <v>0.9</v>
      </c>
      <c r="H97" s="59">
        <v>0</v>
      </c>
      <c r="I97" s="59">
        <v>3.1</v>
      </c>
      <c r="J97" s="59">
        <v>0</v>
      </c>
      <c r="K97" s="59">
        <v>4</v>
      </c>
      <c r="L97" s="58"/>
      <c r="M97" s="68"/>
    </row>
    <row r="98" spans="1:13" s="12" customFormat="1" ht="15.75" customHeight="1" x14ac:dyDescent="0.2">
      <c r="A98" s="23" t="s">
        <v>188</v>
      </c>
      <c r="B98" s="23" t="s">
        <v>189</v>
      </c>
      <c r="C98" s="23" t="s">
        <v>344</v>
      </c>
      <c r="D98" s="23" t="s">
        <v>340</v>
      </c>
      <c r="E98" s="4">
        <v>114.47045864900001</v>
      </c>
      <c r="F98" s="59">
        <v>17.8</v>
      </c>
      <c r="G98" s="59">
        <v>2</v>
      </c>
      <c r="H98" s="59">
        <v>0</v>
      </c>
      <c r="I98" s="59">
        <v>2.9</v>
      </c>
      <c r="J98" s="59">
        <v>0</v>
      </c>
      <c r="K98" s="59">
        <v>4.9000000000000004</v>
      </c>
      <c r="L98" s="58"/>
      <c r="M98" s="68"/>
    </row>
    <row r="99" spans="1:13" s="12" customFormat="1" ht="15.75" customHeight="1" x14ac:dyDescent="0.2">
      <c r="A99" s="23" t="s">
        <v>190</v>
      </c>
      <c r="B99" s="23" t="s">
        <v>191</v>
      </c>
      <c r="C99" s="23" t="s">
        <v>344</v>
      </c>
      <c r="D99" s="23" t="s">
        <v>340</v>
      </c>
      <c r="E99" s="4">
        <v>39.851166995899995</v>
      </c>
      <c r="F99" s="59">
        <v>9</v>
      </c>
      <c r="G99" s="59">
        <v>0.4</v>
      </c>
      <c r="H99" s="59">
        <v>0</v>
      </c>
      <c r="I99" s="59">
        <v>1.6</v>
      </c>
      <c r="J99" s="59">
        <v>0</v>
      </c>
      <c r="K99" s="59">
        <v>2</v>
      </c>
      <c r="L99" s="58"/>
      <c r="M99" s="68"/>
    </row>
    <row r="100" spans="1:13" s="12" customFormat="1" ht="15.75" customHeight="1" x14ac:dyDescent="0.2">
      <c r="A100" s="23" t="s">
        <v>192</v>
      </c>
      <c r="B100" s="23" t="s">
        <v>193</v>
      </c>
      <c r="C100" s="23" t="s">
        <v>344</v>
      </c>
      <c r="D100" s="23" t="s">
        <v>340</v>
      </c>
      <c r="E100" s="4">
        <v>33.886178278099997</v>
      </c>
      <c r="F100" s="59">
        <v>6.6</v>
      </c>
      <c r="G100" s="59">
        <v>0.5</v>
      </c>
      <c r="H100" s="59">
        <v>0</v>
      </c>
      <c r="I100" s="59">
        <v>1.2</v>
      </c>
      <c r="J100" s="59">
        <v>0</v>
      </c>
      <c r="K100" s="59">
        <v>1.7</v>
      </c>
      <c r="L100" s="58"/>
      <c r="M100" s="68"/>
    </row>
    <row r="101" spans="1:13" s="12" customFormat="1" ht="15.75" customHeight="1" x14ac:dyDescent="0.2">
      <c r="A101" s="23" t="s">
        <v>194</v>
      </c>
      <c r="B101" s="23" t="s">
        <v>195</v>
      </c>
      <c r="C101" s="23" t="s">
        <v>344</v>
      </c>
      <c r="D101" s="23" t="s">
        <v>340</v>
      </c>
      <c r="E101" s="4">
        <v>412.06281745000001</v>
      </c>
      <c r="F101" s="59">
        <v>30.9</v>
      </c>
      <c r="G101" s="59">
        <v>22.5</v>
      </c>
      <c r="H101" s="59">
        <v>0</v>
      </c>
      <c r="I101" s="59">
        <v>0</v>
      </c>
      <c r="J101" s="59">
        <v>0</v>
      </c>
      <c r="K101" s="59">
        <v>22.5</v>
      </c>
      <c r="L101" s="58"/>
      <c r="M101" s="68"/>
    </row>
    <row r="102" spans="1:13" s="12" customFormat="1" ht="15.75" customHeight="1" x14ac:dyDescent="0.2">
      <c r="A102" s="23" t="s">
        <v>196</v>
      </c>
      <c r="B102" s="23" t="s">
        <v>197</v>
      </c>
      <c r="C102" s="23" t="s">
        <v>344</v>
      </c>
      <c r="D102" s="23" t="s">
        <v>340</v>
      </c>
      <c r="E102" s="4">
        <v>12.054824586100001</v>
      </c>
      <c r="F102" s="59">
        <v>3.7</v>
      </c>
      <c r="G102" s="59">
        <v>0.1</v>
      </c>
      <c r="H102" s="59">
        <v>0</v>
      </c>
      <c r="I102" s="59">
        <v>0.7</v>
      </c>
      <c r="J102" s="59">
        <v>0</v>
      </c>
      <c r="K102" s="59">
        <v>0.8</v>
      </c>
      <c r="L102" s="58"/>
      <c r="M102" s="68"/>
    </row>
    <row r="103" spans="1:13" s="12" customFormat="1" ht="15.75" customHeight="1" x14ac:dyDescent="0.2">
      <c r="A103" s="23" t="s">
        <v>198</v>
      </c>
      <c r="B103" s="23" t="s">
        <v>199</v>
      </c>
      <c r="C103" s="23" t="s">
        <v>344</v>
      </c>
      <c r="D103" s="23" t="s">
        <v>340</v>
      </c>
      <c r="E103" s="4">
        <v>51.106349473800002</v>
      </c>
      <c r="F103" s="59">
        <v>3.8</v>
      </c>
      <c r="G103" s="59">
        <v>0.3</v>
      </c>
      <c r="H103" s="59">
        <v>0</v>
      </c>
      <c r="I103" s="59">
        <v>0.6</v>
      </c>
      <c r="J103" s="59">
        <v>0</v>
      </c>
      <c r="K103" s="59">
        <v>0.9</v>
      </c>
      <c r="L103" s="58"/>
      <c r="M103" s="68"/>
    </row>
    <row r="104" spans="1:13" s="12" customFormat="1" ht="15.75" customHeight="1" x14ac:dyDescent="0.2">
      <c r="A104" s="23" t="s">
        <v>200</v>
      </c>
      <c r="B104" s="23" t="s">
        <v>201</v>
      </c>
      <c r="C104" s="23" t="s">
        <v>17</v>
      </c>
      <c r="D104" s="23" t="s">
        <v>342</v>
      </c>
      <c r="E104" s="4">
        <v>545.33171804900007</v>
      </c>
      <c r="F104" s="59">
        <v>114.5</v>
      </c>
      <c r="G104" s="59">
        <v>19.7</v>
      </c>
      <c r="H104" s="59">
        <v>0</v>
      </c>
      <c r="I104" s="59">
        <v>0</v>
      </c>
      <c r="J104" s="59">
        <v>-2.5</v>
      </c>
      <c r="K104" s="59">
        <v>17.2</v>
      </c>
      <c r="L104" s="58"/>
      <c r="M104" s="68"/>
    </row>
    <row r="105" spans="1:13" s="12" customFormat="1" ht="15.75" customHeight="1" x14ac:dyDescent="0.2">
      <c r="A105" s="23" t="s">
        <v>202</v>
      </c>
      <c r="B105" s="23" t="s">
        <v>331</v>
      </c>
      <c r="C105" s="23" t="s">
        <v>17</v>
      </c>
      <c r="D105" s="23" t="s">
        <v>341</v>
      </c>
      <c r="E105" s="4">
        <v>380.26774643900001</v>
      </c>
      <c r="F105" s="59">
        <v>64.599999999999994</v>
      </c>
      <c r="G105" s="59">
        <v>10.7</v>
      </c>
      <c r="H105" s="59">
        <v>0</v>
      </c>
      <c r="I105" s="59">
        <v>0</v>
      </c>
      <c r="J105" s="59">
        <v>-2.2999999999999998</v>
      </c>
      <c r="K105" s="59">
        <v>8.3000000000000007</v>
      </c>
      <c r="L105" s="58"/>
      <c r="M105" s="68"/>
    </row>
    <row r="106" spans="1:13" s="12" customFormat="1" ht="15.75" customHeight="1" x14ac:dyDescent="0.2">
      <c r="A106" s="23" t="s">
        <v>204</v>
      </c>
      <c r="B106" s="23" t="s">
        <v>205</v>
      </c>
      <c r="C106" s="23" t="s">
        <v>17</v>
      </c>
      <c r="D106" s="23" t="s">
        <v>342</v>
      </c>
      <c r="E106" s="4">
        <v>147.42582993900001</v>
      </c>
      <c r="F106" s="59">
        <v>11.8</v>
      </c>
      <c r="G106" s="59">
        <v>1.6</v>
      </c>
      <c r="H106" s="59">
        <v>0</v>
      </c>
      <c r="I106" s="59">
        <v>0</v>
      </c>
      <c r="J106" s="59">
        <v>-0.3</v>
      </c>
      <c r="K106" s="59">
        <v>1.4</v>
      </c>
      <c r="L106" s="58"/>
      <c r="M106" s="68"/>
    </row>
    <row r="107" spans="1:13" s="12" customFormat="1" ht="15.75" customHeight="1" x14ac:dyDescent="0.2">
      <c r="A107" s="23" t="s">
        <v>206</v>
      </c>
      <c r="B107" s="23" t="s">
        <v>207</v>
      </c>
      <c r="C107" s="23" t="s">
        <v>17</v>
      </c>
      <c r="D107" s="23" t="s">
        <v>343</v>
      </c>
      <c r="E107" s="4">
        <v>431.03018205412002</v>
      </c>
      <c r="F107" s="59">
        <v>23.7</v>
      </c>
      <c r="G107" s="59">
        <v>3</v>
      </c>
      <c r="H107" s="59">
        <v>0</v>
      </c>
      <c r="I107" s="59">
        <v>0</v>
      </c>
      <c r="J107" s="59">
        <v>-0.8</v>
      </c>
      <c r="K107" s="59">
        <v>2.2000000000000002</v>
      </c>
      <c r="L107" s="58"/>
      <c r="M107" s="68"/>
    </row>
    <row r="108" spans="1:13" s="12" customFormat="1" ht="15.75" customHeight="1" x14ac:dyDescent="0.2">
      <c r="A108" s="23" t="s">
        <v>208</v>
      </c>
      <c r="B108" s="23" t="s">
        <v>209</v>
      </c>
      <c r="C108" s="23" t="s">
        <v>17</v>
      </c>
      <c r="D108" s="23" t="s">
        <v>342</v>
      </c>
      <c r="E108" s="4">
        <v>287.92682219199997</v>
      </c>
      <c r="F108" s="59">
        <v>66.2</v>
      </c>
      <c r="G108" s="59">
        <v>11.2</v>
      </c>
      <c r="H108" s="59">
        <v>0</v>
      </c>
      <c r="I108" s="59">
        <v>0</v>
      </c>
      <c r="J108" s="59">
        <v>-1.3</v>
      </c>
      <c r="K108" s="59">
        <v>10</v>
      </c>
      <c r="L108" s="58"/>
      <c r="M108" s="68"/>
    </row>
    <row r="109" spans="1:13" s="12" customFormat="1" ht="15.75" customHeight="1" x14ac:dyDescent="0.2">
      <c r="A109" s="23" t="s">
        <v>210</v>
      </c>
      <c r="B109" s="23" t="s">
        <v>211</v>
      </c>
      <c r="C109" s="23" t="s">
        <v>344</v>
      </c>
      <c r="D109" s="23" t="s">
        <v>340</v>
      </c>
      <c r="E109" s="4">
        <v>201.50286695200001</v>
      </c>
      <c r="F109" s="59">
        <v>120.9</v>
      </c>
      <c r="G109" s="59">
        <v>21.6</v>
      </c>
      <c r="H109" s="59">
        <v>8.1999999999999993</v>
      </c>
      <c r="I109" s="59">
        <v>9.4</v>
      </c>
      <c r="J109" s="59">
        <v>0</v>
      </c>
      <c r="K109" s="59">
        <v>39.200000000000003</v>
      </c>
      <c r="L109" s="58">
        <v>8.1999999999999993</v>
      </c>
      <c r="M109" s="68" t="s">
        <v>332</v>
      </c>
    </row>
    <row r="110" spans="1:13" s="12" customFormat="1" ht="15.75" customHeight="1" x14ac:dyDescent="0.2">
      <c r="A110" s="23" t="s">
        <v>212</v>
      </c>
      <c r="B110" s="23" t="s">
        <v>213</v>
      </c>
      <c r="C110" s="23" t="s">
        <v>344</v>
      </c>
      <c r="D110" s="23" t="s">
        <v>340</v>
      </c>
      <c r="E110" s="4">
        <v>48.185504311399995</v>
      </c>
      <c r="F110" s="59">
        <v>116.4</v>
      </c>
      <c r="G110" s="59">
        <v>6.1</v>
      </c>
      <c r="H110" s="59">
        <v>0</v>
      </c>
      <c r="I110" s="59">
        <v>27.4</v>
      </c>
      <c r="J110" s="59">
        <v>0</v>
      </c>
      <c r="K110" s="59">
        <v>33.5</v>
      </c>
      <c r="L110" s="58"/>
      <c r="M110" s="68"/>
    </row>
    <row r="111" spans="1:13" s="12" customFormat="1" ht="15.75" customHeight="1" x14ac:dyDescent="0.2">
      <c r="A111" s="23" t="s">
        <v>214</v>
      </c>
      <c r="B111" s="23" t="s">
        <v>215</v>
      </c>
      <c r="C111" s="23" t="s">
        <v>17</v>
      </c>
      <c r="D111" s="23" t="s">
        <v>341</v>
      </c>
      <c r="E111" s="4">
        <v>446.23459463424598</v>
      </c>
      <c r="F111" s="59">
        <v>147.19999999999999</v>
      </c>
      <c r="G111" s="59">
        <v>24.6</v>
      </c>
      <c r="H111" s="59">
        <v>0</v>
      </c>
      <c r="I111" s="59">
        <v>0</v>
      </c>
      <c r="J111" s="59">
        <v>-2.8</v>
      </c>
      <c r="K111" s="59">
        <v>21.7</v>
      </c>
      <c r="L111" s="58"/>
      <c r="M111" s="68"/>
    </row>
    <row r="112" spans="1:13" s="12" customFormat="1" ht="15.75" customHeight="1" x14ac:dyDescent="0.2">
      <c r="A112" s="23" t="s">
        <v>216</v>
      </c>
      <c r="B112" s="23" t="s">
        <v>217</v>
      </c>
      <c r="C112" s="23" t="s">
        <v>17</v>
      </c>
      <c r="D112" s="23" t="s">
        <v>342</v>
      </c>
      <c r="E112" s="4">
        <v>564.07730077799999</v>
      </c>
      <c r="F112" s="59">
        <v>344.1</v>
      </c>
      <c r="G112" s="59">
        <v>64.3</v>
      </c>
      <c r="H112" s="59">
        <v>0</v>
      </c>
      <c r="I112" s="59">
        <v>0</v>
      </c>
      <c r="J112" s="59">
        <v>-15.1</v>
      </c>
      <c r="K112" s="59">
        <v>49.3</v>
      </c>
      <c r="L112" s="58"/>
      <c r="M112" s="68"/>
    </row>
    <row r="113" spans="1:13" s="12" customFormat="1" ht="15.75" customHeight="1" x14ac:dyDescent="0.2">
      <c r="A113" s="23" t="s">
        <v>218</v>
      </c>
      <c r="B113" s="23" t="s">
        <v>333</v>
      </c>
      <c r="C113" s="23" t="s">
        <v>17</v>
      </c>
      <c r="D113" s="23" t="s">
        <v>342</v>
      </c>
      <c r="E113" s="4">
        <v>311.08701861100002</v>
      </c>
      <c r="F113" s="59">
        <v>112</v>
      </c>
      <c r="G113" s="59">
        <v>17.100000000000001</v>
      </c>
      <c r="H113" s="59">
        <v>0</v>
      </c>
      <c r="I113" s="59">
        <v>0</v>
      </c>
      <c r="J113" s="59">
        <v>-1.9</v>
      </c>
      <c r="K113" s="59">
        <v>15.2</v>
      </c>
      <c r="L113" s="58"/>
      <c r="M113" s="68"/>
    </row>
    <row r="114" spans="1:13" s="12" customFormat="1" ht="15.75" customHeight="1" x14ac:dyDescent="0.2">
      <c r="A114" s="23" t="s">
        <v>220</v>
      </c>
      <c r="B114" s="23" t="s">
        <v>221</v>
      </c>
      <c r="C114" s="23" t="s">
        <v>17</v>
      </c>
      <c r="D114" s="23" t="s">
        <v>341</v>
      </c>
      <c r="E114" s="4">
        <v>503.821491923</v>
      </c>
      <c r="F114" s="59">
        <v>277.10000000000002</v>
      </c>
      <c r="G114" s="59">
        <v>55.4</v>
      </c>
      <c r="H114" s="59">
        <v>0</v>
      </c>
      <c r="I114" s="59">
        <v>0</v>
      </c>
      <c r="J114" s="59">
        <v>-14.7</v>
      </c>
      <c r="K114" s="59">
        <v>40.700000000000003</v>
      </c>
      <c r="L114" s="58"/>
      <c r="M114" s="68"/>
    </row>
    <row r="115" spans="1:13" s="12" customFormat="1" ht="15.75" customHeight="1" x14ac:dyDescent="0.2">
      <c r="A115" s="23" t="s">
        <v>222</v>
      </c>
      <c r="B115" s="23" t="s">
        <v>223</v>
      </c>
      <c r="C115" s="23" t="s">
        <v>17</v>
      </c>
      <c r="D115" s="23" t="s">
        <v>342</v>
      </c>
      <c r="E115" s="4">
        <v>256.07257813180001</v>
      </c>
      <c r="F115" s="59">
        <v>105</v>
      </c>
      <c r="G115" s="59">
        <v>18.5</v>
      </c>
      <c r="H115" s="59">
        <v>0</v>
      </c>
      <c r="I115" s="59">
        <v>0</v>
      </c>
      <c r="J115" s="59">
        <v>-2.2999999999999998</v>
      </c>
      <c r="K115" s="59">
        <v>16.2</v>
      </c>
      <c r="L115" s="58"/>
      <c r="M115" s="68"/>
    </row>
    <row r="116" spans="1:13" s="12" customFormat="1" ht="12.75" x14ac:dyDescent="0.2">
      <c r="A116" s="23" t="s">
        <v>224</v>
      </c>
      <c r="B116" s="23" t="s">
        <v>225</v>
      </c>
      <c r="C116" s="23" t="s">
        <v>344</v>
      </c>
      <c r="D116" s="23" t="s">
        <v>340</v>
      </c>
      <c r="E116" s="4">
        <v>54.034044894699996</v>
      </c>
      <c r="F116" s="59">
        <v>38.1</v>
      </c>
      <c r="G116" s="59">
        <v>4.3</v>
      </c>
      <c r="H116" s="59">
        <v>0</v>
      </c>
      <c r="I116" s="59">
        <v>7.8</v>
      </c>
      <c r="J116" s="59">
        <v>0</v>
      </c>
      <c r="K116" s="59">
        <v>12.1</v>
      </c>
      <c r="L116" s="58"/>
      <c r="M116" s="68" t="s">
        <v>455</v>
      </c>
    </row>
    <row r="117" spans="1:13" s="12" customFormat="1" ht="15.75" customHeight="1" x14ac:dyDescent="0.2">
      <c r="A117" s="23" t="s">
        <v>226</v>
      </c>
      <c r="B117" s="23" t="s">
        <v>227</v>
      </c>
      <c r="C117" s="23" t="s">
        <v>344</v>
      </c>
      <c r="D117" s="23" t="s">
        <v>340</v>
      </c>
      <c r="E117" s="4">
        <v>39.498094497726598</v>
      </c>
      <c r="F117" s="59">
        <v>5.5</v>
      </c>
      <c r="G117" s="59">
        <v>0.5</v>
      </c>
      <c r="H117" s="59">
        <v>0</v>
      </c>
      <c r="I117" s="59">
        <v>0.8</v>
      </c>
      <c r="J117" s="59">
        <v>0</v>
      </c>
      <c r="K117" s="59">
        <v>1.2</v>
      </c>
      <c r="L117" s="58"/>
      <c r="M117" s="68"/>
    </row>
    <row r="118" spans="1:13" s="12" customFormat="1" ht="12.75" x14ac:dyDescent="0.2">
      <c r="A118" s="23" t="s">
        <v>228</v>
      </c>
      <c r="B118" s="23" t="s">
        <v>229</v>
      </c>
      <c r="C118" s="23" t="s">
        <v>17</v>
      </c>
      <c r="D118" s="23" t="s">
        <v>343</v>
      </c>
      <c r="E118" s="4">
        <v>209.01525143857779</v>
      </c>
      <c r="F118" s="59">
        <v>12.6</v>
      </c>
      <c r="G118" s="59">
        <v>1.3</v>
      </c>
      <c r="H118" s="59">
        <v>3.4</v>
      </c>
      <c r="I118" s="59">
        <v>0</v>
      </c>
      <c r="J118" s="59">
        <v>0</v>
      </c>
      <c r="K118" s="59">
        <v>4.7</v>
      </c>
      <c r="L118" s="58">
        <v>3.4</v>
      </c>
      <c r="M118" s="68" t="s">
        <v>334</v>
      </c>
    </row>
    <row r="119" spans="1:13" s="12" customFormat="1" ht="15.75" customHeight="1" x14ac:dyDescent="0.2">
      <c r="A119" s="23" t="s">
        <v>230</v>
      </c>
      <c r="B119" s="23" t="s">
        <v>231</v>
      </c>
      <c r="C119" s="23" t="s">
        <v>17</v>
      </c>
      <c r="D119" s="23" t="s">
        <v>343</v>
      </c>
      <c r="E119" s="4">
        <v>276.32211635229999</v>
      </c>
      <c r="F119" s="59">
        <v>13.8</v>
      </c>
      <c r="G119" s="59">
        <v>1.7</v>
      </c>
      <c r="H119" s="59">
        <v>2.1</v>
      </c>
      <c r="I119" s="59">
        <v>0</v>
      </c>
      <c r="J119" s="59">
        <v>0</v>
      </c>
      <c r="K119" s="59">
        <v>3.8</v>
      </c>
      <c r="L119" s="58">
        <v>2.1</v>
      </c>
      <c r="M119" s="68" t="s">
        <v>335</v>
      </c>
    </row>
    <row r="120" spans="1:13" s="12" customFormat="1" ht="15.75" customHeight="1" x14ac:dyDescent="0.2">
      <c r="A120" s="23" t="s">
        <v>232</v>
      </c>
      <c r="B120" s="23" t="s">
        <v>233</v>
      </c>
      <c r="C120" s="23" t="s">
        <v>17</v>
      </c>
      <c r="D120" s="23" t="s">
        <v>343</v>
      </c>
      <c r="E120" s="4">
        <v>1090.9774405134101</v>
      </c>
      <c r="F120" s="59">
        <v>43.6</v>
      </c>
      <c r="G120" s="59">
        <v>7.6</v>
      </c>
      <c r="H120" s="59">
        <v>0</v>
      </c>
      <c r="I120" s="59">
        <v>0</v>
      </c>
      <c r="J120" s="59">
        <v>-3.9</v>
      </c>
      <c r="K120" s="59">
        <v>3.7</v>
      </c>
      <c r="L120" s="58"/>
      <c r="M120" s="68"/>
    </row>
    <row r="121" spans="1:13" s="12" customFormat="1" ht="15.75" customHeight="1" x14ac:dyDescent="0.2">
      <c r="A121" s="23" t="s">
        <v>234</v>
      </c>
      <c r="B121" s="23" t="s">
        <v>235</v>
      </c>
      <c r="C121" s="23" t="s">
        <v>17</v>
      </c>
      <c r="D121" s="23" t="s">
        <v>343</v>
      </c>
      <c r="E121" s="4">
        <v>862.49791184629998</v>
      </c>
      <c r="F121" s="59">
        <v>56.1</v>
      </c>
      <c r="G121" s="59">
        <v>6.9</v>
      </c>
      <c r="H121" s="59">
        <v>0</v>
      </c>
      <c r="I121" s="59">
        <v>0</v>
      </c>
      <c r="J121" s="59">
        <v>0</v>
      </c>
      <c r="K121" s="59">
        <v>6.9</v>
      </c>
      <c r="L121" s="58"/>
      <c r="M121" s="68"/>
    </row>
    <row r="122" spans="1:13" s="12" customFormat="1" ht="15.75" customHeight="1" x14ac:dyDescent="0.2">
      <c r="A122" s="23" t="s">
        <v>236</v>
      </c>
      <c r="B122" s="23" t="s">
        <v>237</v>
      </c>
      <c r="C122" s="23" t="s">
        <v>17</v>
      </c>
      <c r="D122" s="23" t="s">
        <v>342</v>
      </c>
      <c r="E122" s="4">
        <v>682.87281633479995</v>
      </c>
      <c r="F122" s="59">
        <v>177.5</v>
      </c>
      <c r="G122" s="59">
        <v>30.7</v>
      </c>
      <c r="H122" s="59">
        <v>0</v>
      </c>
      <c r="I122" s="59">
        <v>0</v>
      </c>
      <c r="J122" s="59">
        <v>-3.7</v>
      </c>
      <c r="K122" s="59">
        <v>27</v>
      </c>
      <c r="L122" s="58"/>
      <c r="M122" s="68"/>
    </row>
    <row r="123" spans="1:13" s="12" customFormat="1" ht="15.75" customHeight="1" x14ac:dyDescent="0.2">
      <c r="A123" s="23" t="s">
        <v>238</v>
      </c>
      <c r="B123" s="23" t="s">
        <v>239</v>
      </c>
      <c r="C123" s="23" t="s">
        <v>17</v>
      </c>
      <c r="D123" s="23" t="s">
        <v>342</v>
      </c>
      <c r="E123" s="4">
        <v>1019.4396325299999</v>
      </c>
      <c r="F123" s="59">
        <v>458.7</v>
      </c>
      <c r="G123" s="59">
        <v>76.5</v>
      </c>
      <c r="H123" s="59">
        <v>0</v>
      </c>
      <c r="I123" s="59">
        <v>0</v>
      </c>
      <c r="J123" s="59">
        <v>-5</v>
      </c>
      <c r="K123" s="59">
        <v>71.5</v>
      </c>
      <c r="L123" s="58"/>
      <c r="M123" s="68"/>
    </row>
    <row r="124" spans="1:13" s="12" customFormat="1" ht="15.75" customHeight="1" x14ac:dyDescent="0.2">
      <c r="A124" s="23" t="s">
        <v>240</v>
      </c>
      <c r="B124" s="23" t="s">
        <v>241</v>
      </c>
      <c r="C124" s="23" t="s">
        <v>17</v>
      </c>
      <c r="D124" s="23" t="s">
        <v>342</v>
      </c>
      <c r="E124" s="4">
        <v>8059.2609894540001</v>
      </c>
      <c r="F124" s="59">
        <v>2844.9</v>
      </c>
      <c r="G124" s="59">
        <v>486.1</v>
      </c>
      <c r="H124" s="59">
        <v>0</v>
      </c>
      <c r="I124" s="59">
        <v>0</v>
      </c>
      <c r="J124" s="59">
        <v>-35.4</v>
      </c>
      <c r="K124" s="59">
        <v>450.8</v>
      </c>
      <c r="L124" s="58"/>
      <c r="M124" s="68"/>
    </row>
    <row r="125" spans="1:13" s="12" customFormat="1" ht="15.75" customHeight="1" x14ac:dyDescent="0.2">
      <c r="A125" s="23" t="s">
        <v>242</v>
      </c>
      <c r="B125" s="23" t="s">
        <v>243</v>
      </c>
      <c r="C125" s="23" t="s">
        <v>17</v>
      </c>
      <c r="D125" s="23" t="s">
        <v>343</v>
      </c>
      <c r="E125" s="4">
        <v>1351.5740172997</v>
      </c>
      <c r="F125" s="59">
        <v>67.599999999999994</v>
      </c>
      <c r="G125" s="59">
        <v>12.2</v>
      </c>
      <c r="H125" s="59">
        <v>0</v>
      </c>
      <c r="I125" s="59">
        <v>0</v>
      </c>
      <c r="J125" s="59">
        <v>-3.6</v>
      </c>
      <c r="K125" s="59">
        <v>8.6</v>
      </c>
      <c r="L125" s="58"/>
      <c r="M125" s="68"/>
    </row>
    <row r="126" spans="1:13" s="12" customFormat="1" ht="15.75" customHeight="1" x14ac:dyDescent="0.2">
      <c r="A126" s="23" t="s">
        <v>244</v>
      </c>
      <c r="B126" s="23" t="s">
        <v>245</v>
      </c>
      <c r="C126" s="23" t="s">
        <v>17</v>
      </c>
      <c r="D126" s="23" t="s">
        <v>342</v>
      </c>
      <c r="E126" s="4">
        <v>2595.6372469920002</v>
      </c>
      <c r="F126" s="59">
        <v>415.69999999999993</v>
      </c>
      <c r="G126" s="59">
        <v>73.8</v>
      </c>
      <c r="H126" s="59">
        <v>0</v>
      </c>
      <c r="I126" s="59">
        <v>0</v>
      </c>
      <c r="J126" s="59">
        <v>-10.899999999999999</v>
      </c>
      <c r="K126" s="59">
        <v>62.9</v>
      </c>
      <c r="L126" s="58"/>
      <c r="M126" s="68"/>
    </row>
    <row r="127" spans="1:13" s="12" customFormat="1" ht="15.75" customHeight="1" x14ac:dyDescent="0.2">
      <c r="A127" s="23" t="s">
        <v>246</v>
      </c>
      <c r="B127" s="23" t="s">
        <v>247</v>
      </c>
      <c r="C127" s="23" t="s">
        <v>17</v>
      </c>
      <c r="D127" s="23" t="s">
        <v>341</v>
      </c>
      <c r="E127" s="4">
        <v>7873.3777029290659</v>
      </c>
      <c r="F127" s="59">
        <v>3388.6000000000004</v>
      </c>
      <c r="G127" s="59">
        <v>575.20000000000005</v>
      </c>
      <c r="H127" s="59">
        <v>0</v>
      </c>
      <c r="I127" s="59">
        <v>0</v>
      </c>
      <c r="J127" s="59">
        <v>-51.899999999999991</v>
      </c>
      <c r="K127" s="59">
        <v>523.19999999999993</v>
      </c>
      <c r="L127" s="58"/>
      <c r="M127" s="68"/>
    </row>
    <row r="128" spans="1:13" s="12" customFormat="1" ht="15.75" customHeight="1" x14ac:dyDescent="0.2">
      <c r="A128" s="23" t="s">
        <v>248</v>
      </c>
      <c r="B128" s="23" t="s">
        <v>249</v>
      </c>
      <c r="C128" s="23" t="s">
        <v>17</v>
      </c>
      <c r="D128" s="23" t="s">
        <v>342</v>
      </c>
      <c r="E128" s="4">
        <v>6365.0590844600001</v>
      </c>
      <c r="F128" s="59">
        <v>819.30000000000007</v>
      </c>
      <c r="G128" s="59">
        <v>139.1</v>
      </c>
      <c r="H128" s="59">
        <v>0</v>
      </c>
      <c r="I128" s="59">
        <v>0</v>
      </c>
      <c r="J128" s="59">
        <v>-11.3</v>
      </c>
      <c r="K128" s="59">
        <v>127.80000000000001</v>
      </c>
      <c r="L128" s="58"/>
      <c r="M128" s="68"/>
    </row>
    <row r="129" spans="1:13" s="12" customFormat="1" ht="15.75" customHeight="1" x14ac:dyDescent="0.2">
      <c r="A129" s="23" t="s">
        <v>250</v>
      </c>
      <c r="B129" s="23" t="s">
        <v>251</v>
      </c>
      <c r="C129" s="23" t="s">
        <v>17</v>
      </c>
      <c r="D129" s="23" t="s">
        <v>342</v>
      </c>
      <c r="E129" s="4">
        <v>977.42439205999995</v>
      </c>
      <c r="F129" s="59">
        <v>88</v>
      </c>
      <c r="G129" s="59">
        <v>21.5</v>
      </c>
      <c r="H129" s="59">
        <v>0</v>
      </c>
      <c r="I129" s="59">
        <v>0</v>
      </c>
      <c r="J129" s="59">
        <v>-5.8</v>
      </c>
      <c r="K129" s="59">
        <v>15.7</v>
      </c>
      <c r="L129" s="58"/>
      <c r="M129" s="68"/>
    </row>
    <row r="130" spans="1:13" s="12" customFormat="1" ht="15.75" customHeight="1" x14ac:dyDescent="0.2">
      <c r="A130" s="23" t="s">
        <v>252</v>
      </c>
      <c r="B130" s="23" t="s">
        <v>253</v>
      </c>
      <c r="C130" s="23" t="s">
        <v>17</v>
      </c>
      <c r="D130" s="23" t="s">
        <v>342</v>
      </c>
      <c r="E130" s="4">
        <v>159.06707420793998</v>
      </c>
      <c r="F130" s="59">
        <v>14.3</v>
      </c>
      <c r="G130" s="59">
        <v>1.4</v>
      </c>
      <c r="H130" s="59">
        <v>0</v>
      </c>
      <c r="I130" s="59">
        <v>0</v>
      </c>
      <c r="J130" s="59">
        <v>0</v>
      </c>
      <c r="K130" s="59">
        <v>1.4</v>
      </c>
      <c r="L130" s="58"/>
      <c r="M130" s="68"/>
    </row>
    <row r="131" spans="1:13" s="12" customFormat="1" ht="15.75" customHeight="1" x14ac:dyDescent="0.2">
      <c r="A131" s="23" t="s">
        <v>254</v>
      </c>
      <c r="B131" s="23" t="s">
        <v>255</v>
      </c>
      <c r="C131" s="23" t="s">
        <v>17</v>
      </c>
      <c r="D131" s="23" t="s">
        <v>341</v>
      </c>
      <c r="E131" s="4">
        <v>216.53632635400001</v>
      </c>
      <c r="F131" s="59">
        <v>136.4</v>
      </c>
      <c r="G131" s="59">
        <v>22.5</v>
      </c>
      <c r="H131" s="59">
        <v>0</v>
      </c>
      <c r="I131" s="59">
        <v>0</v>
      </c>
      <c r="J131" s="59">
        <v>-1.1000000000000001</v>
      </c>
      <c r="K131" s="59">
        <v>21.4</v>
      </c>
      <c r="L131" s="58"/>
      <c r="M131" s="68"/>
    </row>
    <row r="132" spans="1:13" s="12" customFormat="1" ht="15.75" customHeight="1" x14ac:dyDescent="0.2">
      <c r="A132" s="23" t="s">
        <v>256</v>
      </c>
      <c r="B132" s="23" t="s">
        <v>336</v>
      </c>
      <c r="C132" s="23" t="s">
        <v>344</v>
      </c>
      <c r="D132" s="23" t="s">
        <v>340</v>
      </c>
      <c r="E132" s="4">
        <v>50.446556868900004</v>
      </c>
      <c r="F132" s="59">
        <v>15.6</v>
      </c>
      <c r="G132" s="59">
        <v>1.5</v>
      </c>
      <c r="H132" s="59">
        <v>0</v>
      </c>
      <c r="I132" s="59">
        <v>2.9</v>
      </c>
      <c r="J132" s="59">
        <v>0</v>
      </c>
      <c r="K132" s="59">
        <v>4.4000000000000004</v>
      </c>
      <c r="L132" s="58"/>
      <c r="M132" s="68"/>
    </row>
    <row r="133" spans="1:13" s="51" customFormat="1" ht="15.75" customHeight="1" x14ac:dyDescent="0.2">
      <c r="A133" s="23" t="s">
        <v>258</v>
      </c>
      <c r="B133" s="23" t="s">
        <v>337</v>
      </c>
      <c r="C133" s="23" t="s">
        <v>344</v>
      </c>
      <c r="D133" s="23" t="s">
        <v>340</v>
      </c>
      <c r="E133" s="4">
        <v>23.0935193376</v>
      </c>
      <c r="F133" s="59">
        <v>7</v>
      </c>
      <c r="G133" s="59">
        <v>0.6</v>
      </c>
      <c r="H133" s="59">
        <v>0</v>
      </c>
      <c r="I133" s="59">
        <v>1.2</v>
      </c>
      <c r="J133" s="59">
        <v>0</v>
      </c>
      <c r="K133" s="59">
        <v>1.8</v>
      </c>
      <c r="L133" s="58"/>
      <c r="M133" s="68"/>
    </row>
    <row r="134" spans="1:13" s="51" customFormat="1" ht="15.75" customHeight="1" x14ac:dyDescent="0.2">
      <c r="A134" s="23" t="s">
        <v>260</v>
      </c>
      <c r="B134" s="23" t="s">
        <v>261</v>
      </c>
      <c r="C134" s="23" t="s">
        <v>17</v>
      </c>
      <c r="D134" s="23" t="s">
        <v>343</v>
      </c>
      <c r="E134" s="4">
        <v>419.29988913300002</v>
      </c>
      <c r="F134" s="59">
        <v>90.2</v>
      </c>
      <c r="G134" s="59">
        <v>17.2</v>
      </c>
      <c r="H134" s="59">
        <v>0</v>
      </c>
      <c r="I134" s="59">
        <v>0</v>
      </c>
      <c r="J134" s="59">
        <v>-1.9</v>
      </c>
      <c r="K134" s="59">
        <v>15.3</v>
      </c>
      <c r="L134" s="58"/>
      <c r="M134" s="68"/>
    </row>
    <row r="135" spans="1:13" s="51" customFormat="1" ht="12.75" x14ac:dyDescent="0.2">
      <c r="A135" s="23" t="s">
        <v>262</v>
      </c>
      <c r="B135" s="23" t="s">
        <v>263</v>
      </c>
      <c r="C135" s="23" t="s">
        <v>17</v>
      </c>
      <c r="D135" s="23" t="s">
        <v>343</v>
      </c>
      <c r="E135" s="4">
        <v>496.332317096</v>
      </c>
      <c r="F135" s="59">
        <v>114.2</v>
      </c>
      <c r="G135" s="59">
        <v>26.799999999999997</v>
      </c>
      <c r="H135" s="59">
        <v>0</v>
      </c>
      <c r="I135" s="59">
        <v>0</v>
      </c>
      <c r="J135" s="59">
        <v>-7.9</v>
      </c>
      <c r="K135" s="59">
        <v>18.899999999999999</v>
      </c>
      <c r="L135" s="58"/>
      <c r="M135" s="68"/>
    </row>
  </sheetData>
  <autoFilter ref="A5:M135"/>
  <mergeCells count="5">
    <mergeCell ref="A5:A6"/>
    <mergeCell ref="B5:B6"/>
    <mergeCell ref="F6:L6"/>
    <mergeCell ref="C5:C6"/>
    <mergeCell ref="D5:D6"/>
  </mergeCells>
  <pageMargins left="0.70866141732283472" right="0.70866141732283472" top="1.1811023622047245" bottom="0.78740157480314965" header="0.51181102362204722" footer="0.31496062992125984"/>
  <pageSetup paperSize="9" orientation="portrait" r:id="rId1"/>
  <headerFooter>
    <oddHeader>&amp;L&amp;G&amp;CWasserschatz Österreichs&amp;R&amp;A</oddHeader>
    <oddFooter>&amp;L
Grundlagen für nachhaltige Nutzungen des Grundwassers.
&amp;R&amp;Pvon &amp;N</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8"/>
  <sheetViews>
    <sheetView topLeftCell="A16" zoomScaleNormal="100" workbookViewId="0">
      <selection activeCell="B53" sqref="B53"/>
    </sheetView>
  </sheetViews>
  <sheetFormatPr baseColWidth="10" defaultRowHeight="15.75" customHeight="1" x14ac:dyDescent="0.2"/>
  <cols>
    <col min="1" max="3" width="11" style="1"/>
    <col min="4" max="4" width="15.375" style="33" customWidth="1"/>
    <col min="5" max="5" width="11" style="33"/>
    <col min="6" max="6" width="16.875" style="33" customWidth="1"/>
    <col min="7" max="7" width="13.625" style="33" customWidth="1"/>
    <col min="8" max="8" width="14.5" style="33" customWidth="1"/>
    <col min="9" max="9" width="15.875" style="33" customWidth="1"/>
    <col min="10" max="10" width="11" style="33"/>
    <col min="11" max="11" width="11" style="34"/>
    <col min="12" max="12" width="11" style="33"/>
    <col min="13" max="13" width="15.25" style="33" customWidth="1"/>
    <col min="14" max="15" width="13.5" style="33" customWidth="1"/>
    <col min="16" max="16" width="14.625" style="33" customWidth="1"/>
    <col min="17" max="17" width="11" style="33"/>
    <col min="18" max="18" width="30.625" style="33" customWidth="1"/>
    <col min="19" max="16384" width="11" style="1"/>
  </cols>
  <sheetData>
    <row r="1" spans="1:18" ht="51" customHeight="1" x14ac:dyDescent="0.2"/>
    <row r="2" spans="1:18" ht="15.75" customHeight="1" x14ac:dyDescent="0.25">
      <c r="A2" s="35" t="s">
        <v>289</v>
      </c>
    </row>
    <row r="3" spans="1:18" s="12" customFormat="1" ht="15.75" customHeight="1" x14ac:dyDescent="0.2">
      <c r="A3" s="61" t="s">
        <v>436</v>
      </c>
      <c r="B3" s="14"/>
      <c r="C3" s="14"/>
      <c r="D3" s="36">
        <f t="shared" ref="D3:J3" si="0">SUM(D8:D136)</f>
        <v>5115000000</v>
      </c>
      <c r="E3" s="36">
        <f t="shared" si="0"/>
        <v>406555000</v>
      </c>
      <c r="F3" s="36">
        <f t="shared" si="0"/>
        <v>57385000</v>
      </c>
      <c r="G3" s="36">
        <f t="shared" si="0"/>
        <v>27902000</v>
      </c>
      <c r="H3" s="36">
        <f t="shared" si="0"/>
        <v>271084000</v>
      </c>
      <c r="I3" s="36">
        <f t="shared" si="0"/>
        <v>4445000</v>
      </c>
      <c r="J3" s="36">
        <f t="shared" si="0"/>
        <v>767371000</v>
      </c>
      <c r="K3" s="36"/>
      <c r="L3" s="36">
        <f t="shared" ref="L3:Q3" si="1">SUM(L8:L136)</f>
        <v>335303000</v>
      </c>
      <c r="M3" s="36">
        <f t="shared" si="1"/>
        <v>6168000</v>
      </c>
      <c r="N3" s="36">
        <f t="shared" si="1"/>
        <v>27079000</v>
      </c>
      <c r="O3" s="36">
        <f t="shared" si="1"/>
        <v>0</v>
      </c>
      <c r="P3" s="36">
        <f t="shared" si="1"/>
        <v>3059000</v>
      </c>
      <c r="Q3" s="36">
        <f t="shared" si="1"/>
        <v>371609000</v>
      </c>
      <c r="R3" s="36"/>
    </row>
    <row r="4" spans="1:18" s="12" customFormat="1" ht="15.75" customHeight="1" thickBot="1" x14ac:dyDescent="0.25">
      <c r="A4" s="61" t="s">
        <v>437</v>
      </c>
      <c r="B4" s="14"/>
      <c r="C4" s="14"/>
      <c r="D4" s="36">
        <f t="shared" ref="D4:J4" si="2">SUBTOTAL(9,D8:D136)</f>
        <v>5115000000</v>
      </c>
      <c r="E4" s="36">
        <f t="shared" si="2"/>
        <v>406555000</v>
      </c>
      <c r="F4" s="36">
        <f t="shared" si="2"/>
        <v>57385000</v>
      </c>
      <c r="G4" s="36">
        <f t="shared" si="2"/>
        <v>27902000</v>
      </c>
      <c r="H4" s="36">
        <f t="shared" si="2"/>
        <v>271084000</v>
      </c>
      <c r="I4" s="36">
        <f t="shared" si="2"/>
        <v>4445000</v>
      </c>
      <c r="J4" s="36">
        <f t="shared" si="2"/>
        <v>767371000</v>
      </c>
      <c r="K4" s="36"/>
      <c r="L4" s="36">
        <f t="shared" ref="L4:Q4" si="3">SUBTOTAL(9,L8:L136)</f>
        <v>335303000</v>
      </c>
      <c r="M4" s="36">
        <f t="shared" si="3"/>
        <v>6168000</v>
      </c>
      <c r="N4" s="36">
        <f t="shared" si="3"/>
        <v>27079000</v>
      </c>
      <c r="O4" s="36">
        <f t="shared" si="3"/>
        <v>0</v>
      </c>
      <c r="P4" s="36">
        <f t="shared" si="3"/>
        <v>3059000</v>
      </c>
      <c r="Q4" s="36">
        <f t="shared" si="3"/>
        <v>371609000</v>
      </c>
      <c r="R4" s="36"/>
    </row>
    <row r="5" spans="1:18" ht="15.75" customHeight="1" x14ac:dyDescent="0.2">
      <c r="A5" s="12"/>
      <c r="B5" s="12"/>
      <c r="C5" s="12"/>
      <c r="D5" s="37"/>
      <c r="E5" s="98" t="s">
        <v>0</v>
      </c>
      <c r="F5" s="99"/>
      <c r="G5" s="99"/>
      <c r="H5" s="99"/>
      <c r="I5" s="99"/>
      <c r="J5" s="99"/>
      <c r="K5" s="100"/>
      <c r="L5" s="98" t="s">
        <v>1</v>
      </c>
      <c r="M5" s="99"/>
      <c r="N5" s="99"/>
      <c r="O5" s="99"/>
      <c r="P5" s="99"/>
      <c r="Q5" s="100"/>
      <c r="R5" s="38"/>
    </row>
    <row r="6" spans="1:18" s="34" customFormat="1" ht="50.25" customHeight="1" x14ac:dyDescent="0.2">
      <c r="A6" s="101" t="s">
        <v>2</v>
      </c>
      <c r="B6" s="101" t="s">
        <v>3</v>
      </c>
      <c r="C6" s="101" t="s">
        <v>4</v>
      </c>
      <c r="D6" s="79" t="s">
        <v>271</v>
      </c>
      <c r="E6" s="16" t="s">
        <v>273</v>
      </c>
      <c r="F6" s="17" t="s">
        <v>265</v>
      </c>
      <c r="G6" s="17" t="s">
        <v>266</v>
      </c>
      <c r="H6" s="17" t="s">
        <v>269</v>
      </c>
      <c r="I6" s="17" t="s">
        <v>270</v>
      </c>
      <c r="J6" s="17" t="s">
        <v>267</v>
      </c>
      <c r="K6" s="19" t="s">
        <v>272</v>
      </c>
      <c r="L6" s="16" t="s">
        <v>273</v>
      </c>
      <c r="M6" s="17" t="s">
        <v>265</v>
      </c>
      <c r="N6" s="17" t="s">
        <v>266</v>
      </c>
      <c r="O6" s="17" t="s">
        <v>269</v>
      </c>
      <c r="P6" s="17" t="s">
        <v>270</v>
      </c>
      <c r="Q6" s="19" t="s">
        <v>274</v>
      </c>
      <c r="R6" s="39" t="s">
        <v>412</v>
      </c>
    </row>
    <row r="7" spans="1:18" s="15" customFormat="1" ht="15.75" customHeight="1" thickBot="1" x14ac:dyDescent="0.25">
      <c r="A7" s="102"/>
      <c r="B7" s="102"/>
      <c r="C7" s="102"/>
      <c r="D7" s="80"/>
      <c r="E7" s="81" t="s">
        <v>264</v>
      </c>
      <c r="F7" s="82"/>
      <c r="G7" s="82"/>
      <c r="H7" s="82"/>
      <c r="I7" s="82"/>
      <c r="J7" s="82"/>
      <c r="K7" s="40" t="s">
        <v>268</v>
      </c>
      <c r="L7" s="81" t="s">
        <v>264</v>
      </c>
      <c r="M7" s="82"/>
      <c r="N7" s="82"/>
      <c r="O7" s="82"/>
      <c r="P7" s="82"/>
      <c r="Q7" s="83"/>
      <c r="R7" s="41"/>
    </row>
    <row r="8" spans="1:18" ht="15.75" customHeight="1" x14ac:dyDescent="0.2">
      <c r="A8" s="21" t="s">
        <v>5</v>
      </c>
      <c r="B8" s="21" t="s">
        <v>6</v>
      </c>
      <c r="C8" s="21" t="s">
        <v>344</v>
      </c>
      <c r="D8" s="42">
        <v>7200000</v>
      </c>
      <c r="E8" s="43">
        <v>695000</v>
      </c>
      <c r="F8" s="44">
        <v>0</v>
      </c>
      <c r="G8" s="44">
        <v>30000</v>
      </c>
      <c r="H8" s="44">
        <v>777000</v>
      </c>
      <c r="I8" s="44">
        <v>73000</v>
      </c>
      <c r="J8" s="44">
        <v>1575000</v>
      </c>
      <c r="K8" s="45">
        <v>21.875</v>
      </c>
      <c r="L8" s="43">
        <v>0</v>
      </c>
      <c r="M8" s="44">
        <v>0</v>
      </c>
      <c r="N8" s="44">
        <v>0</v>
      </c>
      <c r="O8" s="44">
        <v>0</v>
      </c>
      <c r="P8" s="44">
        <v>0</v>
      </c>
      <c r="Q8" s="46">
        <v>0</v>
      </c>
      <c r="R8" s="47"/>
    </row>
    <row r="9" spans="1:18" s="48" customFormat="1" ht="38.25" x14ac:dyDescent="0.2">
      <c r="A9" s="21" t="s">
        <v>7</v>
      </c>
      <c r="B9" s="21" t="s">
        <v>8</v>
      </c>
      <c r="C9" s="21" t="s">
        <v>344</v>
      </c>
      <c r="D9" s="42">
        <v>41400000</v>
      </c>
      <c r="E9" s="43">
        <v>2213000</v>
      </c>
      <c r="F9" s="44">
        <v>231000</v>
      </c>
      <c r="G9" s="44">
        <v>147000</v>
      </c>
      <c r="H9" s="44">
        <v>21207000</v>
      </c>
      <c r="I9" s="44">
        <v>0</v>
      </c>
      <c r="J9" s="44">
        <v>23798000</v>
      </c>
      <c r="K9" s="45">
        <v>57.483091787439612</v>
      </c>
      <c r="L9" s="43">
        <v>1089000</v>
      </c>
      <c r="M9" s="44">
        <v>0</v>
      </c>
      <c r="N9" s="44">
        <v>73000</v>
      </c>
      <c r="O9" s="44">
        <v>0</v>
      </c>
      <c r="P9" s="44">
        <v>21000</v>
      </c>
      <c r="Q9" s="46">
        <v>1183000</v>
      </c>
      <c r="R9" s="47" t="s">
        <v>418</v>
      </c>
    </row>
    <row r="10" spans="1:18" ht="15.75" customHeight="1" x14ac:dyDescent="0.2">
      <c r="A10" s="21" t="s">
        <v>9</v>
      </c>
      <c r="B10" s="21" t="s">
        <v>10</v>
      </c>
      <c r="C10" s="21" t="s">
        <v>344</v>
      </c>
      <c r="D10" s="42">
        <v>13900000</v>
      </c>
      <c r="E10" s="43">
        <v>287000</v>
      </c>
      <c r="F10" s="44">
        <v>0</v>
      </c>
      <c r="G10" s="44">
        <v>11000</v>
      </c>
      <c r="H10" s="44">
        <v>28000</v>
      </c>
      <c r="I10" s="44">
        <v>0</v>
      </c>
      <c r="J10" s="44">
        <v>326000</v>
      </c>
      <c r="K10" s="45">
        <v>2.36231884057971</v>
      </c>
      <c r="L10" s="43">
        <v>2000</v>
      </c>
      <c r="M10" s="44">
        <v>0</v>
      </c>
      <c r="N10" s="44">
        <v>0</v>
      </c>
      <c r="O10" s="44">
        <v>0</v>
      </c>
      <c r="P10" s="44">
        <v>0</v>
      </c>
      <c r="Q10" s="46">
        <v>2000</v>
      </c>
      <c r="R10" s="47"/>
    </row>
    <row r="11" spans="1:18" ht="15.75" customHeight="1" x14ac:dyDescent="0.2">
      <c r="A11" s="21" t="s">
        <v>11</v>
      </c>
      <c r="B11" s="21" t="s">
        <v>12</v>
      </c>
      <c r="C11" s="21" t="s">
        <v>344</v>
      </c>
      <c r="D11" s="42">
        <v>16700000</v>
      </c>
      <c r="E11" s="43">
        <v>251000</v>
      </c>
      <c r="F11" s="44">
        <v>1000</v>
      </c>
      <c r="G11" s="44">
        <v>49000</v>
      </c>
      <c r="H11" s="44">
        <v>1020000</v>
      </c>
      <c r="I11" s="44">
        <v>73000</v>
      </c>
      <c r="J11" s="44">
        <v>1394000</v>
      </c>
      <c r="K11" s="45">
        <v>8.3473053892215567</v>
      </c>
      <c r="L11" s="43">
        <v>0</v>
      </c>
      <c r="M11" s="44">
        <v>0</v>
      </c>
      <c r="N11" s="44">
        <v>0</v>
      </c>
      <c r="O11" s="44">
        <v>0</v>
      </c>
      <c r="P11" s="44">
        <v>0</v>
      </c>
      <c r="Q11" s="46">
        <v>0</v>
      </c>
      <c r="R11" s="47"/>
    </row>
    <row r="12" spans="1:18" ht="15.75" customHeight="1" x14ac:dyDescent="0.2">
      <c r="A12" s="21" t="s">
        <v>13</v>
      </c>
      <c r="B12" s="21" t="s">
        <v>14</v>
      </c>
      <c r="C12" s="21" t="s">
        <v>344</v>
      </c>
      <c r="D12" s="42">
        <v>98500000</v>
      </c>
      <c r="E12" s="43">
        <v>15853000</v>
      </c>
      <c r="F12" s="44">
        <v>43000</v>
      </c>
      <c r="G12" s="44">
        <v>182000</v>
      </c>
      <c r="H12" s="44">
        <v>21609000</v>
      </c>
      <c r="I12" s="44">
        <v>12000</v>
      </c>
      <c r="J12" s="44">
        <v>37699000</v>
      </c>
      <c r="K12" s="45">
        <v>38.3119918699187</v>
      </c>
      <c r="L12" s="43">
        <v>563000</v>
      </c>
      <c r="M12" s="44">
        <v>0</v>
      </c>
      <c r="N12" s="44">
        <v>6000</v>
      </c>
      <c r="O12" s="44">
        <v>0</v>
      </c>
      <c r="P12" s="44">
        <v>0</v>
      </c>
      <c r="Q12" s="46">
        <v>569000</v>
      </c>
      <c r="R12" s="47"/>
    </row>
    <row r="13" spans="1:18" ht="15.75" customHeight="1" x14ac:dyDescent="0.25">
      <c r="A13" s="21" t="s">
        <v>15</v>
      </c>
      <c r="B13" s="49" t="s">
        <v>16</v>
      </c>
      <c r="C13" s="21" t="s">
        <v>17</v>
      </c>
      <c r="D13" s="42">
        <v>1900000</v>
      </c>
      <c r="E13" s="43">
        <v>0</v>
      </c>
      <c r="F13" s="44">
        <v>0</v>
      </c>
      <c r="G13" s="44">
        <v>0</v>
      </c>
      <c r="H13" s="44">
        <v>0</v>
      </c>
      <c r="I13" s="44">
        <v>0</v>
      </c>
      <c r="J13" s="44">
        <v>0</v>
      </c>
      <c r="K13" s="45">
        <v>0</v>
      </c>
      <c r="L13" s="43">
        <v>0</v>
      </c>
      <c r="M13" s="44">
        <v>0</v>
      </c>
      <c r="N13" s="44">
        <v>7000</v>
      </c>
      <c r="O13" s="44">
        <v>0</v>
      </c>
      <c r="P13" s="44">
        <v>0</v>
      </c>
      <c r="Q13" s="46">
        <v>7000</v>
      </c>
      <c r="R13" s="47"/>
    </row>
    <row r="14" spans="1:18" ht="15.75" customHeight="1" x14ac:dyDescent="0.2">
      <c r="A14" s="21" t="s">
        <v>18</v>
      </c>
      <c r="B14" s="21" t="s">
        <v>19</v>
      </c>
      <c r="C14" s="21" t="s">
        <v>17</v>
      </c>
      <c r="D14" s="42">
        <v>512600000</v>
      </c>
      <c r="E14" s="43">
        <v>38414000</v>
      </c>
      <c r="F14" s="44">
        <v>0</v>
      </c>
      <c r="G14" s="44">
        <v>363000</v>
      </c>
      <c r="H14" s="44">
        <v>5782000</v>
      </c>
      <c r="I14" s="44">
        <v>134000</v>
      </c>
      <c r="J14" s="44">
        <v>44693000</v>
      </c>
      <c r="K14" s="45">
        <v>8.7256930886372519</v>
      </c>
      <c r="L14" s="43">
        <v>23541000</v>
      </c>
      <c r="M14" s="44">
        <v>623000</v>
      </c>
      <c r="N14" s="44">
        <v>1393000</v>
      </c>
      <c r="O14" s="44">
        <v>0</v>
      </c>
      <c r="P14" s="44">
        <v>1065000</v>
      </c>
      <c r="Q14" s="46">
        <v>26622000</v>
      </c>
      <c r="R14" s="47"/>
    </row>
    <row r="15" spans="1:18" ht="15.75" customHeight="1" x14ac:dyDescent="0.2">
      <c r="A15" s="21" t="s">
        <v>20</v>
      </c>
      <c r="B15" s="21" t="s">
        <v>21</v>
      </c>
      <c r="C15" s="21" t="s">
        <v>17</v>
      </c>
      <c r="D15" s="42">
        <v>774499999.99999988</v>
      </c>
      <c r="E15" s="43">
        <v>2565000</v>
      </c>
      <c r="F15" s="44">
        <v>0</v>
      </c>
      <c r="G15" s="44">
        <v>248000</v>
      </c>
      <c r="H15" s="44">
        <v>9276000</v>
      </c>
      <c r="I15" s="44">
        <v>418000</v>
      </c>
      <c r="J15" s="44">
        <v>12507000</v>
      </c>
      <c r="K15" s="45">
        <v>1.615891472868217</v>
      </c>
      <c r="L15" s="43">
        <v>35965000</v>
      </c>
      <c r="M15" s="44">
        <v>3264000</v>
      </c>
      <c r="N15" s="44">
        <v>3119000</v>
      </c>
      <c r="O15" s="44">
        <v>0</v>
      </c>
      <c r="P15" s="44">
        <v>619000</v>
      </c>
      <c r="Q15" s="46">
        <v>42967000</v>
      </c>
      <c r="R15" s="47"/>
    </row>
    <row r="16" spans="1:18" ht="15.75" customHeight="1" x14ac:dyDescent="0.2">
      <c r="A16" s="21" t="s">
        <v>22</v>
      </c>
      <c r="B16" s="21" t="s">
        <v>23</v>
      </c>
      <c r="C16" s="21" t="s">
        <v>17</v>
      </c>
      <c r="D16" s="42">
        <v>15700000</v>
      </c>
      <c r="E16" s="3">
        <v>7848000</v>
      </c>
      <c r="F16" s="44">
        <v>0</v>
      </c>
      <c r="G16" s="44">
        <v>555000</v>
      </c>
      <c r="H16" s="44">
        <v>23000</v>
      </c>
      <c r="I16" s="44">
        <v>7000</v>
      </c>
      <c r="J16" s="44">
        <v>8433000</v>
      </c>
      <c r="K16" s="45">
        <v>53.71337579617834</v>
      </c>
      <c r="L16" s="43">
        <v>364000</v>
      </c>
      <c r="M16" s="44">
        <v>1000</v>
      </c>
      <c r="N16" s="44">
        <v>26000</v>
      </c>
      <c r="O16" s="44">
        <v>0</v>
      </c>
      <c r="P16" s="44">
        <v>0</v>
      </c>
      <c r="Q16" s="46">
        <v>391000</v>
      </c>
      <c r="R16" s="47"/>
    </row>
    <row r="17" spans="1:18" ht="15.75" customHeight="1" x14ac:dyDescent="0.2">
      <c r="A17" s="21" t="s">
        <v>24</v>
      </c>
      <c r="B17" s="21" t="s">
        <v>25</v>
      </c>
      <c r="C17" s="21" t="s">
        <v>17</v>
      </c>
      <c r="D17" s="42">
        <v>13000000</v>
      </c>
      <c r="E17" s="43">
        <v>1264000</v>
      </c>
      <c r="F17" s="44">
        <v>1000</v>
      </c>
      <c r="G17" s="44">
        <v>418000</v>
      </c>
      <c r="H17" s="44">
        <v>0</v>
      </c>
      <c r="I17" s="44">
        <v>0</v>
      </c>
      <c r="J17" s="44">
        <v>1683000</v>
      </c>
      <c r="K17" s="45">
        <v>12.946153846153846</v>
      </c>
      <c r="L17" s="43">
        <v>0</v>
      </c>
      <c r="M17" s="44">
        <v>0</v>
      </c>
      <c r="N17" s="44">
        <v>0</v>
      </c>
      <c r="O17" s="44">
        <v>0</v>
      </c>
      <c r="P17" s="44">
        <v>0</v>
      </c>
      <c r="Q17" s="46">
        <v>0</v>
      </c>
      <c r="R17" s="47"/>
    </row>
    <row r="18" spans="1:18" ht="15.75" customHeight="1" x14ac:dyDescent="0.2">
      <c r="A18" s="21" t="s">
        <v>26</v>
      </c>
      <c r="B18" s="21" t="s">
        <v>27</v>
      </c>
      <c r="C18" s="21" t="s">
        <v>17</v>
      </c>
      <c r="D18" s="42">
        <v>39800000</v>
      </c>
      <c r="E18" s="43">
        <v>7748000</v>
      </c>
      <c r="F18" s="44">
        <v>9000</v>
      </c>
      <c r="G18" s="44">
        <v>1579000</v>
      </c>
      <c r="H18" s="44">
        <v>5416000</v>
      </c>
      <c r="I18" s="44">
        <v>30000</v>
      </c>
      <c r="J18" s="44">
        <v>14782000</v>
      </c>
      <c r="K18" s="45">
        <v>37.140703517587944</v>
      </c>
      <c r="L18" s="43">
        <v>104000</v>
      </c>
      <c r="M18" s="44">
        <v>0</v>
      </c>
      <c r="N18" s="44">
        <v>32000</v>
      </c>
      <c r="O18" s="44">
        <v>0</v>
      </c>
      <c r="P18" s="44">
        <v>0</v>
      </c>
      <c r="Q18" s="46">
        <v>136000</v>
      </c>
      <c r="R18" s="47"/>
    </row>
    <row r="19" spans="1:18" ht="15.75" customHeight="1" x14ac:dyDescent="0.2">
      <c r="A19" s="21" t="s">
        <v>28</v>
      </c>
      <c r="B19" s="21" t="s">
        <v>29</v>
      </c>
      <c r="C19" s="21" t="s">
        <v>17</v>
      </c>
      <c r="D19" s="42">
        <v>25800000</v>
      </c>
      <c r="E19" s="43">
        <v>1925000</v>
      </c>
      <c r="F19" s="44">
        <v>2000</v>
      </c>
      <c r="G19" s="44">
        <v>358000</v>
      </c>
      <c r="H19" s="44">
        <v>1113000</v>
      </c>
      <c r="I19" s="44">
        <v>63000</v>
      </c>
      <c r="J19" s="44">
        <v>3461000</v>
      </c>
      <c r="K19" s="45">
        <v>13.414728682170542</v>
      </c>
      <c r="L19" s="43">
        <v>3417000</v>
      </c>
      <c r="M19" s="44">
        <v>0</v>
      </c>
      <c r="N19" s="44">
        <v>635000</v>
      </c>
      <c r="O19" s="44">
        <v>0</v>
      </c>
      <c r="P19" s="44">
        <v>0</v>
      </c>
      <c r="Q19" s="46">
        <v>4052000</v>
      </c>
      <c r="R19" s="47"/>
    </row>
    <row r="20" spans="1:18" ht="15.75" customHeight="1" x14ac:dyDescent="0.2">
      <c r="A20" s="21" t="s">
        <v>30</v>
      </c>
      <c r="B20" s="21" t="s">
        <v>31</v>
      </c>
      <c r="C20" s="21" t="s">
        <v>17</v>
      </c>
      <c r="D20" s="42">
        <v>17100000</v>
      </c>
      <c r="E20" s="43">
        <v>5534000</v>
      </c>
      <c r="F20" s="44">
        <v>0</v>
      </c>
      <c r="G20" s="44">
        <v>1232000</v>
      </c>
      <c r="H20" s="44">
        <v>237000</v>
      </c>
      <c r="I20" s="44">
        <v>0</v>
      </c>
      <c r="J20" s="44">
        <v>7003000</v>
      </c>
      <c r="K20" s="45">
        <v>40.953216374269005</v>
      </c>
      <c r="L20" s="43">
        <v>665000</v>
      </c>
      <c r="M20" s="44">
        <v>31000</v>
      </c>
      <c r="N20" s="44">
        <v>148000</v>
      </c>
      <c r="O20" s="44">
        <v>0</v>
      </c>
      <c r="P20" s="44">
        <v>0</v>
      </c>
      <c r="Q20" s="46">
        <v>844000</v>
      </c>
      <c r="R20" s="47"/>
    </row>
    <row r="21" spans="1:18" ht="15.75" customHeight="1" x14ac:dyDescent="0.2">
      <c r="A21" s="21" t="s">
        <v>32</v>
      </c>
      <c r="B21" s="21" t="s">
        <v>33</v>
      </c>
      <c r="C21" s="21" t="s">
        <v>17</v>
      </c>
      <c r="D21" s="42">
        <v>3900000</v>
      </c>
      <c r="E21" s="43">
        <v>875000</v>
      </c>
      <c r="F21" s="44">
        <v>0</v>
      </c>
      <c r="G21" s="44">
        <v>4000</v>
      </c>
      <c r="H21" s="44">
        <v>0</v>
      </c>
      <c r="I21" s="44">
        <v>0</v>
      </c>
      <c r="J21" s="44">
        <v>879000</v>
      </c>
      <c r="K21" s="45">
        <v>22.538461538461537</v>
      </c>
      <c r="L21" s="43">
        <v>1312000</v>
      </c>
      <c r="M21" s="44">
        <v>0</v>
      </c>
      <c r="N21" s="44">
        <v>5000</v>
      </c>
      <c r="O21" s="44">
        <v>0</v>
      </c>
      <c r="P21" s="44">
        <v>0</v>
      </c>
      <c r="Q21" s="46">
        <v>1317000</v>
      </c>
      <c r="R21" s="47"/>
    </row>
    <row r="22" spans="1:18" ht="15.75" customHeight="1" x14ac:dyDescent="0.2">
      <c r="A22" s="21" t="s">
        <v>34</v>
      </c>
      <c r="B22" s="21" t="s">
        <v>35</v>
      </c>
      <c r="C22" s="21" t="s">
        <v>344</v>
      </c>
      <c r="D22" s="42">
        <v>6700000</v>
      </c>
      <c r="E22" s="43">
        <v>2326000</v>
      </c>
      <c r="F22" s="44">
        <v>1000</v>
      </c>
      <c r="G22" s="44">
        <v>120000</v>
      </c>
      <c r="H22" s="44">
        <v>1548000</v>
      </c>
      <c r="I22" s="44">
        <v>36000</v>
      </c>
      <c r="J22" s="44">
        <v>4031000</v>
      </c>
      <c r="K22" s="45">
        <v>60.164179104477611</v>
      </c>
      <c r="L22" s="43">
        <v>21000</v>
      </c>
      <c r="M22" s="44">
        <v>0</v>
      </c>
      <c r="N22" s="44">
        <v>1000</v>
      </c>
      <c r="O22" s="44">
        <v>0</v>
      </c>
      <c r="P22" s="44">
        <v>0</v>
      </c>
      <c r="Q22" s="46">
        <v>22000</v>
      </c>
      <c r="R22" s="47"/>
    </row>
    <row r="23" spans="1:18" ht="15.75" customHeight="1" x14ac:dyDescent="0.2">
      <c r="A23" s="21" t="s">
        <v>36</v>
      </c>
      <c r="B23" s="21" t="s">
        <v>37</v>
      </c>
      <c r="C23" s="21" t="s">
        <v>344</v>
      </c>
      <c r="D23" s="42">
        <v>6600000</v>
      </c>
      <c r="E23" s="43">
        <v>34000</v>
      </c>
      <c r="F23" s="44">
        <v>2033000</v>
      </c>
      <c r="G23" s="44">
        <v>4000</v>
      </c>
      <c r="H23" s="44">
        <v>0</v>
      </c>
      <c r="I23" s="44">
        <v>0</v>
      </c>
      <c r="J23" s="44">
        <v>2071000</v>
      </c>
      <c r="K23" s="45">
        <v>31.378787878787879</v>
      </c>
      <c r="L23" s="43">
        <v>0</v>
      </c>
      <c r="M23" s="44">
        <v>0</v>
      </c>
      <c r="N23" s="44">
        <v>0</v>
      </c>
      <c r="O23" s="44">
        <v>0</v>
      </c>
      <c r="P23" s="44">
        <v>0</v>
      </c>
      <c r="Q23" s="46">
        <v>0</v>
      </c>
      <c r="R23" s="47"/>
    </row>
    <row r="24" spans="1:18" ht="15.75" customHeight="1" x14ac:dyDescent="0.2">
      <c r="A24" s="21" t="s">
        <v>38</v>
      </c>
      <c r="B24" s="21" t="s">
        <v>39</v>
      </c>
      <c r="C24" s="21" t="s">
        <v>344</v>
      </c>
      <c r="D24" s="42">
        <v>14200000</v>
      </c>
      <c r="E24" s="43">
        <v>2219000</v>
      </c>
      <c r="F24" s="44">
        <v>40000</v>
      </c>
      <c r="G24" s="44">
        <v>218000</v>
      </c>
      <c r="H24" s="44">
        <v>195000</v>
      </c>
      <c r="I24" s="44">
        <v>0</v>
      </c>
      <c r="J24" s="44">
        <v>2672000</v>
      </c>
      <c r="K24" s="45">
        <v>18.816901408450704</v>
      </c>
      <c r="L24" s="43">
        <v>0</v>
      </c>
      <c r="M24" s="44">
        <v>0</v>
      </c>
      <c r="N24" s="44">
        <v>0</v>
      </c>
      <c r="O24" s="44">
        <v>0</v>
      </c>
      <c r="P24" s="44">
        <v>0</v>
      </c>
      <c r="Q24" s="46">
        <v>0</v>
      </c>
      <c r="R24" s="47"/>
    </row>
    <row r="25" spans="1:18" ht="15.75" customHeight="1" x14ac:dyDescent="0.2">
      <c r="A25" s="21" t="s">
        <v>40</v>
      </c>
      <c r="B25" s="21" t="s">
        <v>41</v>
      </c>
      <c r="C25" s="21" t="s">
        <v>344</v>
      </c>
      <c r="D25" s="42">
        <v>65200000</v>
      </c>
      <c r="E25" s="43">
        <v>13065000</v>
      </c>
      <c r="F25" s="44">
        <v>26553000</v>
      </c>
      <c r="G25" s="44">
        <v>36000</v>
      </c>
      <c r="H25" s="44">
        <v>5803000</v>
      </c>
      <c r="I25" s="44">
        <v>74000</v>
      </c>
      <c r="J25" s="44">
        <v>45531000</v>
      </c>
      <c r="K25" s="45">
        <v>69.940092165898619</v>
      </c>
      <c r="L25" s="43">
        <v>88000</v>
      </c>
      <c r="M25" s="44">
        <v>0</v>
      </c>
      <c r="N25" s="44">
        <v>0</v>
      </c>
      <c r="O25" s="44">
        <v>0</v>
      </c>
      <c r="P25" s="44">
        <v>0</v>
      </c>
      <c r="Q25" s="46">
        <v>88000</v>
      </c>
      <c r="R25" s="47"/>
    </row>
    <row r="26" spans="1:18" ht="15.75" customHeight="1" x14ac:dyDescent="0.2">
      <c r="A26" s="21" t="s">
        <v>42</v>
      </c>
      <c r="B26" s="21" t="s">
        <v>43</v>
      </c>
      <c r="C26" s="21" t="s">
        <v>344</v>
      </c>
      <c r="D26" s="42">
        <v>4400000</v>
      </c>
      <c r="E26" s="43">
        <v>561000</v>
      </c>
      <c r="F26" s="44">
        <v>1647000</v>
      </c>
      <c r="G26" s="44">
        <v>12000</v>
      </c>
      <c r="H26" s="44">
        <v>9000</v>
      </c>
      <c r="I26" s="44">
        <v>0</v>
      </c>
      <c r="J26" s="44">
        <v>2229000</v>
      </c>
      <c r="K26" s="45">
        <v>50.659090909090907</v>
      </c>
      <c r="L26" s="43">
        <v>0</v>
      </c>
      <c r="M26" s="44">
        <v>0</v>
      </c>
      <c r="N26" s="44">
        <v>0</v>
      </c>
      <c r="O26" s="44">
        <v>0</v>
      </c>
      <c r="P26" s="44">
        <v>0</v>
      </c>
      <c r="Q26" s="46">
        <v>0</v>
      </c>
      <c r="R26" s="47"/>
    </row>
    <row r="27" spans="1:18" ht="15.75" customHeight="1" x14ac:dyDescent="0.2">
      <c r="A27" s="21" t="s">
        <v>44</v>
      </c>
      <c r="B27" s="21" t="s">
        <v>45</v>
      </c>
      <c r="C27" s="21" t="s">
        <v>344</v>
      </c>
      <c r="D27" s="42">
        <v>4400000</v>
      </c>
      <c r="E27" s="43">
        <v>2094000</v>
      </c>
      <c r="F27" s="44">
        <v>25000</v>
      </c>
      <c r="G27" s="44">
        <v>59000</v>
      </c>
      <c r="H27" s="44">
        <v>28000</v>
      </c>
      <c r="I27" s="44">
        <v>0</v>
      </c>
      <c r="J27" s="44">
        <v>2206000</v>
      </c>
      <c r="K27" s="45">
        <v>50.136363636363633</v>
      </c>
      <c r="L27" s="43">
        <v>21000</v>
      </c>
      <c r="M27" s="44">
        <v>0</v>
      </c>
      <c r="N27" s="44">
        <v>1000</v>
      </c>
      <c r="O27" s="44">
        <v>0</v>
      </c>
      <c r="P27" s="44">
        <v>0</v>
      </c>
      <c r="Q27" s="46">
        <v>22000</v>
      </c>
      <c r="R27" s="47"/>
    </row>
    <row r="28" spans="1:18" ht="15.75" customHeight="1" x14ac:dyDescent="0.2">
      <c r="A28" s="21" t="s">
        <v>46</v>
      </c>
      <c r="B28" s="21" t="s">
        <v>47</v>
      </c>
      <c r="C28" s="21" t="s">
        <v>344</v>
      </c>
      <c r="D28" s="42">
        <v>7800000</v>
      </c>
      <c r="E28" s="43">
        <v>946000</v>
      </c>
      <c r="F28" s="44">
        <v>0</v>
      </c>
      <c r="G28" s="44">
        <v>95000</v>
      </c>
      <c r="H28" s="44">
        <v>0</v>
      </c>
      <c r="I28" s="44">
        <v>0</v>
      </c>
      <c r="J28" s="44">
        <v>1041000</v>
      </c>
      <c r="K28" s="45">
        <v>13.177215189873417</v>
      </c>
      <c r="L28" s="43">
        <v>0</v>
      </c>
      <c r="M28" s="44">
        <v>0</v>
      </c>
      <c r="N28" s="44">
        <v>0</v>
      </c>
      <c r="O28" s="44">
        <v>0</v>
      </c>
      <c r="P28" s="44">
        <v>0</v>
      </c>
      <c r="Q28" s="46">
        <v>0</v>
      </c>
      <c r="R28" s="47"/>
    </row>
    <row r="29" spans="1:18" ht="15.75" customHeight="1" x14ac:dyDescent="0.2">
      <c r="A29" s="21" t="s">
        <v>48</v>
      </c>
      <c r="B29" s="21" t="s">
        <v>49</v>
      </c>
      <c r="C29" s="21" t="s">
        <v>344</v>
      </c>
      <c r="D29" s="42">
        <v>130300000.00000001</v>
      </c>
      <c r="E29" s="43">
        <v>57494000</v>
      </c>
      <c r="F29" s="44">
        <v>2917000</v>
      </c>
      <c r="G29" s="44">
        <v>249000</v>
      </c>
      <c r="H29" s="44">
        <v>29876000</v>
      </c>
      <c r="I29" s="44">
        <v>413000</v>
      </c>
      <c r="J29" s="44">
        <v>90949000</v>
      </c>
      <c r="K29" s="45">
        <v>69.853302611367127</v>
      </c>
      <c r="L29" s="43">
        <v>38000</v>
      </c>
      <c r="M29" s="44">
        <v>0</v>
      </c>
      <c r="N29" s="44">
        <v>0</v>
      </c>
      <c r="O29" s="44">
        <v>0</v>
      </c>
      <c r="P29" s="44">
        <v>0</v>
      </c>
      <c r="Q29" s="46">
        <v>38000</v>
      </c>
      <c r="R29" s="47"/>
    </row>
    <row r="30" spans="1:18" ht="15.75" customHeight="1" x14ac:dyDescent="0.2">
      <c r="A30" s="21" t="s">
        <v>50</v>
      </c>
      <c r="B30" s="21" t="s">
        <v>51</v>
      </c>
      <c r="C30" s="21" t="s">
        <v>344</v>
      </c>
      <c r="D30" s="42">
        <v>14400000</v>
      </c>
      <c r="E30" s="43">
        <v>9029000</v>
      </c>
      <c r="F30" s="44">
        <v>40000</v>
      </c>
      <c r="G30" s="44">
        <v>107000</v>
      </c>
      <c r="H30" s="44">
        <v>3124000</v>
      </c>
      <c r="I30" s="44">
        <v>0</v>
      </c>
      <c r="J30" s="44">
        <v>12300000</v>
      </c>
      <c r="K30" s="45">
        <v>85.416666666666657</v>
      </c>
      <c r="L30" s="43">
        <v>0</v>
      </c>
      <c r="M30" s="44">
        <v>0</v>
      </c>
      <c r="N30" s="44">
        <v>0</v>
      </c>
      <c r="O30" s="44">
        <v>0</v>
      </c>
      <c r="P30" s="44">
        <v>0</v>
      </c>
      <c r="Q30" s="46">
        <v>0</v>
      </c>
      <c r="R30" s="47"/>
    </row>
    <row r="31" spans="1:18" ht="15.75" customHeight="1" x14ac:dyDescent="0.2">
      <c r="A31" s="21" t="s">
        <v>52</v>
      </c>
      <c r="B31" s="21" t="s">
        <v>53</v>
      </c>
      <c r="C31" s="21" t="s">
        <v>344</v>
      </c>
      <c r="D31" s="42">
        <v>85300000</v>
      </c>
      <c r="E31" s="43">
        <v>18732000</v>
      </c>
      <c r="F31" s="44">
        <v>1344000</v>
      </c>
      <c r="G31" s="44">
        <v>273000</v>
      </c>
      <c r="H31" s="44">
        <v>24535000</v>
      </c>
      <c r="I31" s="44">
        <v>79000</v>
      </c>
      <c r="J31" s="44">
        <v>44963000</v>
      </c>
      <c r="K31" s="45">
        <v>52.77347417840376</v>
      </c>
      <c r="L31" s="43">
        <v>0</v>
      </c>
      <c r="M31" s="44">
        <v>0</v>
      </c>
      <c r="N31" s="44">
        <v>0</v>
      </c>
      <c r="O31" s="44">
        <v>0</v>
      </c>
      <c r="P31" s="44">
        <v>0</v>
      </c>
      <c r="Q31" s="46">
        <v>0</v>
      </c>
      <c r="R31" s="47"/>
    </row>
    <row r="32" spans="1:18" ht="15.75" customHeight="1" x14ac:dyDescent="0.2">
      <c r="A32" s="21" t="s">
        <v>54</v>
      </c>
      <c r="B32" s="21" t="s">
        <v>55</v>
      </c>
      <c r="C32" s="21" t="s">
        <v>344</v>
      </c>
      <c r="D32" s="42">
        <v>20100000</v>
      </c>
      <c r="E32" s="43">
        <v>5385000</v>
      </c>
      <c r="F32" s="44">
        <v>5000</v>
      </c>
      <c r="G32" s="44">
        <v>115000</v>
      </c>
      <c r="H32" s="44">
        <v>1506000</v>
      </c>
      <c r="I32" s="44">
        <v>0</v>
      </c>
      <c r="J32" s="44">
        <v>7011000</v>
      </c>
      <c r="K32" s="45">
        <v>34.880597014925371</v>
      </c>
      <c r="L32" s="43">
        <v>112000</v>
      </c>
      <c r="M32" s="44">
        <v>0</v>
      </c>
      <c r="N32" s="44">
        <v>2000</v>
      </c>
      <c r="O32" s="44">
        <v>0</v>
      </c>
      <c r="P32" s="44">
        <v>0</v>
      </c>
      <c r="Q32" s="46">
        <v>114000</v>
      </c>
      <c r="R32" s="47"/>
    </row>
    <row r="33" spans="1:18" ht="15.75" customHeight="1" x14ac:dyDescent="0.2">
      <c r="A33" s="21" t="s">
        <v>56</v>
      </c>
      <c r="B33" s="21" t="s">
        <v>57</v>
      </c>
      <c r="C33" s="21" t="s">
        <v>344</v>
      </c>
      <c r="D33" s="42">
        <v>25000000</v>
      </c>
      <c r="E33" s="43">
        <v>2721000</v>
      </c>
      <c r="F33" s="44">
        <v>1000</v>
      </c>
      <c r="G33" s="44">
        <v>195000</v>
      </c>
      <c r="H33" s="44">
        <v>809000</v>
      </c>
      <c r="I33" s="44">
        <v>0</v>
      </c>
      <c r="J33" s="44">
        <v>3726000</v>
      </c>
      <c r="K33" s="45">
        <v>14.904</v>
      </c>
      <c r="L33" s="43">
        <v>231000</v>
      </c>
      <c r="M33" s="44">
        <v>0</v>
      </c>
      <c r="N33" s="44">
        <v>16000</v>
      </c>
      <c r="O33" s="44">
        <v>0</v>
      </c>
      <c r="P33" s="44">
        <v>0</v>
      </c>
      <c r="Q33" s="46">
        <v>247000</v>
      </c>
      <c r="R33" s="47"/>
    </row>
    <row r="34" spans="1:18" ht="15.75" customHeight="1" x14ac:dyDescent="0.2">
      <c r="A34" s="21" t="s">
        <v>58</v>
      </c>
      <c r="B34" s="21" t="s">
        <v>59</v>
      </c>
      <c r="C34" s="21" t="s">
        <v>17</v>
      </c>
      <c r="D34" s="42">
        <v>21700000</v>
      </c>
      <c r="E34" s="43">
        <v>6496000</v>
      </c>
      <c r="F34" s="44">
        <v>314000</v>
      </c>
      <c r="G34" s="44">
        <v>2478000</v>
      </c>
      <c r="H34" s="44">
        <v>276000</v>
      </c>
      <c r="I34" s="44">
        <v>35000</v>
      </c>
      <c r="J34" s="44">
        <v>9599000</v>
      </c>
      <c r="K34" s="45">
        <v>43.831050228310502</v>
      </c>
      <c r="L34" s="43">
        <v>1147000</v>
      </c>
      <c r="M34" s="44">
        <v>0</v>
      </c>
      <c r="N34" s="44">
        <v>404000</v>
      </c>
      <c r="O34" s="44">
        <v>0</v>
      </c>
      <c r="P34" s="44">
        <v>0</v>
      </c>
      <c r="Q34" s="46">
        <v>1551000</v>
      </c>
      <c r="R34" s="47"/>
    </row>
    <row r="35" spans="1:18" ht="15.75" customHeight="1" x14ac:dyDescent="0.2">
      <c r="A35" s="21" t="s">
        <v>60</v>
      </c>
      <c r="B35" s="21" t="s">
        <v>61</v>
      </c>
      <c r="C35" s="21" t="s">
        <v>17</v>
      </c>
      <c r="D35" s="42">
        <v>6200000</v>
      </c>
      <c r="E35" s="43">
        <v>2184000</v>
      </c>
      <c r="F35" s="44">
        <v>276000</v>
      </c>
      <c r="G35" s="44">
        <v>269000</v>
      </c>
      <c r="H35" s="44">
        <v>328000</v>
      </c>
      <c r="I35" s="44">
        <v>122000</v>
      </c>
      <c r="J35" s="44">
        <v>3179000</v>
      </c>
      <c r="K35" s="45">
        <v>51.274193548387089</v>
      </c>
      <c r="L35" s="43">
        <v>429000</v>
      </c>
      <c r="M35" s="44">
        <v>0</v>
      </c>
      <c r="N35" s="44">
        <v>53000</v>
      </c>
      <c r="O35" s="44">
        <v>0</v>
      </c>
      <c r="P35" s="44">
        <v>0</v>
      </c>
      <c r="Q35" s="46">
        <v>482000</v>
      </c>
      <c r="R35" s="47"/>
    </row>
    <row r="36" spans="1:18" ht="15.75" customHeight="1" x14ac:dyDescent="0.2">
      <c r="A36" s="21" t="s">
        <v>62</v>
      </c>
      <c r="B36" s="21" t="s">
        <v>63</v>
      </c>
      <c r="C36" s="21" t="s">
        <v>344</v>
      </c>
      <c r="D36" s="42">
        <v>38500000</v>
      </c>
      <c r="E36" s="43">
        <v>16986000</v>
      </c>
      <c r="F36" s="44">
        <v>234000</v>
      </c>
      <c r="G36" s="44">
        <v>62000</v>
      </c>
      <c r="H36" s="44">
        <v>1877000</v>
      </c>
      <c r="I36" s="44">
        <v>37000</v>
      </c>
      <c r="J36" s="44">
        <v>19196000</v>
      </c>
      <c r="K36" s="45">
        <v>49.859740259740256</v>
      </c>
      <c r="L36" s="43">
        <v>0</v>
      </c>
      <c r="M36" s="44">
        <v>0</v>
      </c>
      <c r="N36" s="44">
        <v>0</v>
      </c>
      <c r="O36" s="44">
        <v>0</v>
      </c>
      <c r="P36" s="44">
        <v>0</v>
      </c>
      <c r="Q36" s="46">
        <v>0</v>
      </c>
      <c r="R36" s="47"/>
    </row>
    <row r="37" spans="1:18" ht="15.75" customHeight="1" x14ac:dyDescent="0.2">
      <c r="A37" s="21" t="s">
        <v>64</v>
      </c>
      <c r="B37" s="21" t="s">
        <v>65</v>
      </c>
      <c r="C37" s="21" t="s">
        <v>344</v>
      </c>
      <c r="D37" s="42">
        <v>4500000</v>
      </c>
      <c r="E37" s="43">
        <v>40000</v>
      </c>
      <c r="F37" s="44">
        <v>0</v>
      </c>
      <c r="G37" s="44">
        <v>10000</v>
      </c>
      <c r="H37" s="44">
        <v>0</v>
      </c>
      <c r="I37" s="44">
        <v>0</v>
      </c>
      <c r="J37" s="44">
        <v>50000</v>
      </c>
      <c r="K37" s="45">
        <v>1.0869565217391304</v>
      </c>
      <c r="L37" s="43">
        <v>0</v>
      </c>
      <c r="M37" s="44">
        <v>0</v>
      </c>
      <c r="N37" s="44">
        <v>0</v>
      </c>
      <c r="O37" s="44">
        <v>0</v>
      </c>
      <c r="P37" s="44">
        <v>0</v>
      </c>
      <c r="Q37" s="46">
        <v>0</v>
      </c>
      <c r="R37" s="47"/>
    </row>
    <row r="38" spans="1:18" ht="15.75" customHeight="1" x14ac:dyDescent="0.2">
      <c r="A38" s="21" t="s">
        <v>66</v>
      </c>
      <c r="B38" s="21" t="s">
        <v>67</v>
      </c>
      <c r="C38" s="21" t="s">
        <v>344</v>
      </c>
      <c r="D38" s="42">
        <v>80100000</v>
      </c>
      <c r="E38" s="43">
        <v>4120000</v>
      </c>
      <c r="F38" s="44">
        <v>2000</v>
      </c>
      <c r="G38" s="44">
        <v>28000</v>
      </c>
      <c r="H38" s="44">
        <v>43000000</v>
      </c>
      <c r="I38" s="44">
        <v>0</v>
      </c>
      <c r="J38" s="44">
        <v>47150000</v>
      </c>
      <c r="K38" s="45">
        <v>58.863920099875159</v>
      </c>
      <c r="L38" s="43">
        <v>0</v>
      </c>
      <c r="M38" s="44">
        <v>0</v>
      </c>
      <c r="N38" s="44">
        <v>0</v>
      </c>
      <c r="O38" s="44">
        <v>0</v>
      </c>
      <c r="P38" s="44">
        <v>0</v>
      </c>
      <c r="Q38" s="46">
        <v>0</v>
      </c>
      <c r="R38" s="47"/>
    </row>
    <row r="39" spans="1:18" ht="15.75" customHeight="1" x14ac:dyDescent="0.2">
      <c r="A39" s="21" t="s">
        <v>68</v>
      </c>
      <c r="B39" s="21" t="s">
        <v>69</v>
      </c>
      <c r="C39" s="21" t="s">
        <v>344</v>
      </c>
      <c r="D39" s="42">
        <v>18900000</v>
      </c>
      <c r="E39" s="43">
        <v>114000</v>
      </c>
      <c r="F39" s="44">
        <v>0</v>
      </c>
      <c r="G39" s="44">
        <v>16000</v>
      </c>
      <c r="H39" s="44">
        <v>877000</v>
      </c>
      <c r="I39" s="44">
        <v>32000</v>
      </c>
      <c r="J39" s="44">
        <v>1039000</v>
      </c>
      <c r="K39" s="45">
        <v>5.4973544973544977</v>
      </c>
      <c r="L39" s="43">
        <v>115000</v>
      </c>
      <c r="M39" s="44">
        <v>0</v>
      </c>
      <c r="N39" s="44">
        <v>17000</v>
      </c>
      <c r="O39" s="44">
        <v>0</v>
      </c>
      <c r="P39" s="44">
        <v>0</v>
      </c>
      <c r="Q39" s="46">
        <v>132000</v>
      </c>
      <c r="R39" s="47"/>
    </row>
    <row r="40" spans="1:18" ht="15.75" customHeight="1" x14ac:dyDescent="0.2">
      <c r="A40" s="21" t="s">
        <v>70</v>
      </c>
      <c r="B40" s="21" t="s">
        <v>71</v>
      </c>
      <c r="C40" s="21" t="s">
        <v>344</v>
      </c>
      <c r="D40" s="42">
        <v>15400000</v>
      </c>
      <c r="E40" s="43">
        <v>41000</v>
      </c>
      <c r="F40" s="44">
        <v>0</v>
      </c>
      <c r="G40" s="44">
        <v>46000</v>
      </c>
      <c r="H40" s="44">
        <v>0</v>
      </c>
      <c r="I40" s="44">
        <v>31000</v>
      </c>
      <c r="J40" s="44">
        <v>118000</v>
      </c>
      <c r="K40" s="45">
        <v>0.76623376623376616</v>
      </c>
      <c r="L40" s="43">
        <v>0</v>
      </c>
      <c r="M40" s="44">
        <v>0</v>
      </c>
      <c r="N40" s="44">
        <v>0</v>
      </c>
      <c r="O40" s="44">
        <v>0</v>
      </c>
      <c r="P40" s="44">
        <v>0</v>
      </c>
      <c r="Q40" s="46">
        <v>0</v>
      </c>
      <c r="R40" s="47"/>
    </row>
    <row r="41" spans="1:18" ht="15.75" customHeight="1" x14ac:dyDescent="0.2">
      <c r="A41" s="21" t="s">
        <v>72</v>
      </c>
      <c r="B41" s="21" t="s">
        <v>73</v>
      </c>
      <c r="C41" s="21" t="s">
        <v>344</v>
      </c>
      <c r="D41" s="42">
        <v>8800000</v>
      </c>
      <c r="E41" s="43">
        <v>0</v>
      </c>
      <c r="F41" s="44">
        <v>0</v>
      </c>
      <c r="G41" s="44">
        <v>9000</v>
      </c>
      <c r="H41" s="44">
        <v>2155000</v>
      </c>
      <c r="I41" s="44">
        <v>0</v>
      </c>
      <c r="J41" s="44">
        <v>2164000</v>
      </c>
      <c r="K41" s="45">
        <v>24.59090909090909</v>
      </c>
      <c r="L41" s="43">
        <v>0</v>
      </c>
      <c r="M41" s="44">
        <v>0</v>
      </c>
      <c r="N41" s="44">
        <v>0</v>
      </c>
      <c r="O41" s="44">
        <v>0</v>
      </c>
      <c r="P41" s="44">
        <v>0</v>
      </c>
      <c r="Q41" s="46">
        <v>0</v>
      </c>
      <c r="R41" s="47"/>
    </row>
    <row r="42" spans="1:18" ht="15.75" customHeight="1" x14ac:dyDescent="0.2">
      <c r="A42" s="21" t="s">
        <v>74</v>
      </c>
      <c r="B42" s="21" t="s">
        <v>75</v>
      </c>
      <c r="C42" s="21" t="s">
        <v>344</v>
      </c>
      <c r="D42" s="42">
        <v>11600000</v>
      </c>
      <c r="E42" s="43">
        <v>147000</v>
      </c>
      <c r="F42" s="44">
        <v>0</v>
      </c>
      <c r="G42" s="44">
        <v>9000</v>
      </c>
      <c r="H42" s="44">
        <v>350000</v>
      </c>
      <c r="I42" s="44">
        <v>0</v>
      </c>
      <c r="J42" s="44">
        <v>506000</v>
      </c>
      <c r="K42" s="45">
        <v>4.3620689655172411</v>
      </c>
      <c r="L42" s="43">
        <v>0</v>
      </c>
      <c r="M42" s="44">
        <v>0</v>
      </c>
      <c r="N42" s="44">
        <v>0</v>
      </c>
      <c r="O42" s="44">
        <v>0</v>
      </c>
      <c r="P42" s="44">
        <v>0</v>
      </c>
      <c r="Q42" s="46">
        <v>0</v>
      </c>
      <c r="R42" s="47"/>
    </row>
    <row r="43" spans="1:18" ht="15.75" customHeight="1" x14ac:dyDescent="0.2">
      <c r="A43" s="21" t="s">
        <v>76</v>
      </c>
      <c r="B43" s="21" t="s">
        <v>77</v>
      </c>
      <c r="C43" s="21" t="s">
        <v>344</v>
      </c>
      <c r="D43" s="42">
        <v>10700000</v>
      </c>
      <c r="E43" s="43">
        <v>71000</v>
      </c>
      <c r="F43" s="44">
        <v>0</v>
      </c>
      <c r="G43" s="44">
        <v>2000</v>
      </c>
      <c r="H43" s="44">
        <v>0</v>
      </c>
      <c r="I43" s="44">
        <v>0</v>
      </c>
      <c r="J43" s="44">
        <v>73000</v>
      </c>
      <c r="K43" s="45">
        <v>0.68224299065420568</v>
      </c>
      <c r="L43" s="43">
        <v>0</v>
      </c>
      <c r="M43" s="44">
        <v>0</v>
      </c>
      <c r="N43" s="44">
        <v>0</v>
      </c>
      <c r="O43" s="44">
        <v>0</v>
      </c>
      <c r="P43" s="44">
        <v>0</v>
      </c>
      <c r="Q43" s="46">
        <v>0</v>
      </c>
      <c r="R43" s="47"/>
    </row>
    <row r="44" spans="1:18" ht="15.75" customHeight="1" x14ac:dyDescent="0.2">
      <c r="A44" s="21" t="s">
        <v>78</v>
      </c>
      <c r="B44" s="21" t="s">
        <v>79</v>
      </c>
      <c r="C44" s="21" t="s">
        <v>17</v>
      </c>
      <c r="D44" s="42">
        <v>79800000.000000015</v>
      </c>
      <c r="E44" s="43">
        <v>8371000</v>
      </c>
      <c r="F44" s="44">
        <v>2000</v>
      </c>
      <c r="G44" s="44">
        <v>671000</v>
      </c>
      <c r="H44" s="44">
        <v>8177000</v>
      </c>
      <c r="I44" s="44">
        <v>17000</v>
      </c>
      <c r="J44" s="44">
        <v>17238000</v>
      </c>
      <c r="K44" s="45">
        <v>21.765151515151516</v>
      </c>
      <c r="L44" s="43">
        <v>1039000</v>
      </c>
      <c r="M44" s="44">
        <v>0</v>
      </c>
      <c r="N44" s="44">
        <v>99000</v>
      </c>
      <c r="O44" s="44">
        <v>0</v>
      </c>
      <c r="P44" s="44">
        <v>0</v>
      </c>
      <c r="Q44" s="46">
        <v>1138000</v>
      </c>
      <c r="R44" s="47"/>
    </row>
    <row r="45" spans="1:18" ht="15.75" customHeight="1" x14ac:dyDescent="0.2">
      <c r="A45" s="21" t="s">
        <v>80</v>
      </c>
      <c r="B45" s="21" t="s">
        <v>81</v>
      </c>
      <c r="C45" s="21" t="s">
        <v>344</v>
      </c>
      <c r="D45" s="42">
        <v>36800000</v>
      </c>
      <c r="E45" s="43">
        <v>10740000</v>
      </c>
      <c r="F45" s="44">
        <v>22000</v>
      </c>
      <c r="G45" s="44">
        <v>135000</v>
      </c>
      <c r="H45" s="44">
        <v>2108000</v>
      </c>
      <c r="I45" s="44">
        <v>7000</v>
      </c>
      <c r="J45" s="44">
        <v>13012000</v>
      </c>
      <c r="K45" s="45">
        <v>35.455040871934607</v>
      </c>
      <c r="L45" s="43">
        <v>0</v>
      </c>
      <c r="M45" s="44">
        <v>0</v>
      </c>
      <c r="N45" s="44">
        <v>0</v>
      </c>
      <c r="O45" s="44">
        <v>0</v>
      </c>
      <c r="P45" s="44">
        <v>0</v>
      </c>
      <c r="Q45" s="46">
        <v>0</v>
      </c>
      <c r="R45" s="47"/>
    </row>
    <row r="46" spans="1:18" ht="15.75" customHeight="1" x14ac:dyDescent="0.2">
      <c r="A46" s="21" t="s">
        <v>82</v>
      </c>
      <c r="B46" s="21" t="s">
        <v>83</v>
      </c>
      <c r="C46" s="21" t="s">
        <v>17</v>
      </c>
      <c r="D46" s="42">
        <v>18300000</v>
      </c>
      <c r="E46" s="43">
        <v>0</v>
      </c>
      <c r="F46" s="44">
        <v>0</v>
      </c>
      <c r="G46" s="44">
        <v>0</v>
      </c>
      <c r="H46" s="44">
        <v>0</v>
      </c>
      <c r="I46" s="44">
        <v>0</v>
      </c>
      <c r="J46" s="44">
        <v>0</v>
      </c>
      <c r="K46" s="45">
        <v>0</v>
      </c>
      <c r="L46" s="43">
        <v>420000</v>
      </c>
      <c r="M46" s="44">
        <v>0</v>
      </c>
      <c r="N46" s="44">
        <v>28000</v>
      </c>
      <c r="O46" s="44">
        <v>0</v>
      </c>
      <c r="P46" s="44">
        <v>0</v>
      </c>
      <c r="Q46" s="46">
        <v>448000</v>
      </c>
      <c r="R46" s="47"/>
    </row>
    <row r="47" spans="1:18" ht="15.75" customHeight="1" x14ac:dyDescent="0.2">
      <c r="A47" s="21" t="s">
        <v>84</v>
      </c>
      <c r="B47" s="21" t="s">
        <v>85</v>
      </c>
      <c r="C47" s="21" t="s">
        <v>17</v>
      </c>
      <c r="D47" s="42">
        <v>111800000</v>
      </c>
      <c r="E47" s="43">
        <v>0</v>
      </c>
      <c r="F47" s="44">
        <v>0</v>
      </c>
      <c r="G47" s="44">
        <v>0</v>
      </c>
      <c r="H47" s="44">
        <v>0</v>
      </c>
      <c r="I47" s="44">
        <v>532000</v>
      </c>
      <c r="J47" s="44">
        <v>532000</v>
      </c>
      <c r="K47" s="45">
        <v>0.47627573858549688</v>
      </c>
      <c r="L47" s="43">
        <v>3078000</v>
      </c>
      <c r="M47" s="44">
        <v>0</v>
      </c>
      <c r="N47" s="44">
        <v>406000</v>
      </c>
      <c r="O47" s="44">
        <v>0</v>
      </c>
      <c r="P47" s="44">
        <v>0</v>
      </c>
      <c r="Q47" s="46">
        <v>3484000</v>
      </c>
      <c r="R47" s="47"/>
    </row>
    <row r="48" spans="1:18" ht="15.75" customHeight="1" x14ac:dyDescent="0.2">
      <c r="A48" s="21" t="s">
        <v>86</v>
      </c>
      <c r="B48" s="21" t="s">
        <v>87</v>
      </c>
      <c r="C48" s="21" t="s">
        <v>17</v>
      </c>
      <c r="D48" s="42">
        <v>7300000</v>
      </c>
      <c r="E48" s="43">
        <v>34000</v>
      </c>
      <c r="F48" s="44">
        <v>1000</v>
      </c>
      <c r="G48" s="44">
        <v>3000</v>
      </c>
      <c r="H48" s="44">
        <v>19000</v>
      </c>
      <c r="I48" s="44">
        <v>21000</v>
      </c>
      <c r="J48" s="44">
        <v>78000</v>
      </c>
      <c r="K48" s="45">
        <v>1.0684931506849316</v>
      </c>
      <c r="L48" s="43">
        <v>1742000</v>
      </c>
      <c r="M48" s="44">
        <v>0</v>
      </c>
      <c r="N48" s="44">
        <v>141000</v>
      </c>
      <c r="O48" s="44">
        <v>0</v>
      </c>
      <c r="P48" s="44">
        <v>0</v>
      </c>
      <c r="Q48" s="46">
        <v>1883000</v>
      </c>
      <c r="R48" s="47"/>
    </row>
    <row r="49" spans="1:18" ht="15.75" customHeight="1" x14ac:dyDescent="0.2">
      <c r="A49" s="21" t="s">
        <v>88</v>
      </c>
      <c r="B49" s="21" t="s">
        <v>89</v>
      </c>
      <c r="C49" s="21" t="s">
        <v>17</v>
      </c>
      <c r="D49" s="42">
        <v>48500000</v>
      </c>
      <c r="E49" s="43">
        <v>422000</v>
      </c>
      <c r="F49" s="44">
        <v>0</v>
      </c>
      <c r="G49" s="44">
        <v>27000</v>
      </c>
      <c r="H49" s="44">
        <v>615000</v>
      </c>
      <c r="I49" s="44">
        <v>69000</v>
      </c>
      <c r="J49" s="44">
        <v>1133000</v>
      </c>
      <c r="K49" s="45">
        <v>2.3360824742268043</v>
      </c>
      <c r="L49" s="43">
        <v>1967000</v>
      </c>
      <c r="M49" s="44">
        <v>0</v>
      </c>
      <c r="N49" s="44">
        <v>126000</v>
      </c>
      <c r="O49" s="44">
        <v>0</v>
      </c>
      <c r="P49" s="44">
        <v>37000</v>
      </c>
      <c r="Q49" s="46">
        <v>2130000</v>
      </c>
      <c r="R49" s="47"/>
    </row>
    <row r="50" spans="1:18" ht="15.75" customHeight="1" x14ac:dyDescent="0.2">
      <c r="A50" s="21" t="s">
        <v>90</v>
      </c>
      <c r="B50" s="21" t="s">
        <v>91</v>
      </c>
      <c r="C50" s="21" t="s">
        <v>17</v>
      </c>
      <c r="D50" s="42">
        <v>19400000</v>
      </c>
      <c r="E50" s="43">
        <v>1099000</v>
      </c>
      <c r="F50" s="44">
        <v>0</v>
      </c>
      <c r="G50" s="44">
        <v>1075000</v>
      </c>
      <c r="H50" s="44">
        <v>110000</v>
      </c>
      <c r="I50" s="44">
        <v>11000</v>
      </c>
      <c r="J50" s="44">
        <v>2295000</v>
      </c>
      <c r="K50" s="45">
        <v>11.829896907216494</v>
      </c>
      <c r="L50" s="43">
        <v>501000</v>
      </c>
      <c r="M50" s="44">
        <v>78000</v>
      </c>
      <c r="N50" s="44">
        <v>490000</v>
      </c>
      <c r="O50" s="44">
        <v>0</v>
      </c>
      <c r="P50" s="44">
        <v>0</v>
      </c>
      <c r="Q50" s="46">
        <v>1069000</v>
      </c>
      <c r="R50" s="47"/>
    </row>
    <row r="51" spans="1:18" ht="15.75" customHeight="1" x14ac:dyDescent="0.2">
      <c r="A51" s="21" t="s">
        <v>92</v>
      </c>
      <c r="B51" s="21" t="s">
        <v>93</v>
      </c>
      <c r="C51" s="21" t="s">
        <v>17</v>
      </c>
      <c r="D51" s="42">
        <v>29700000</v>
      </c>
      <c r="E51" s="43">
        <v>4913000</v>
      </c>
      <c r="F51" s="44">
        <v>119000</v>
      </c>
      <c r="G51" s="44">
        <v>1646000</v>
      </c>
      <c r="H51" s="44">
        <v>141000</v>
      </c>
      <c r="I51" s="44">
        <v>0</v>
      </c>
      <c r="J51" s="44">
        <v>6819000</v>
      </c>
      <c r="K51" s="45">
        <v>22.959595959595962</v>
      </c>
      <c r="L51" s="43">
        <v>1398000</v>
      </c>
      <c r="M51" s="44">
        <v>0</v>
      </c>
      <c r="N51" s="44">
        <v>468000</v>
      </c>
      <c r="O51" s="44">
        <v>0</v>
      </c>
      <c r="P51" s="44">
        <v>0</v>
      </c>
      <c r="Q51" s="46">
        <v>1866000</v>
      </c>
      <c r="R51" s="47"/>
    </row>
    <row r="52" spans="1:18" ht="15.75" customHeight="1" x14ac:dyDescent="0.2">
      <c r="A52" s="21" t="s">
        <v>94</v>
      </c>
      <c r="B52" s="21" t="s">
        <v>95</v>
      </c>
      <c r="C52" s="21" t="s">
        <v>344</v>
      </c>
      <c r="D52" s="42">
        <v>4300000</v>
      </c>
      <c r="E52" s="43">
        <v>65000</v>
      </c>
      <c r="F52" s="44">
        <v>0</v>
      </c>
      <c r="G52" s="44">
        <v>30000</v>
      </c>
      <c r="H52" s="44">
        <v>0</v>
      </c>
      <c r="I52" s="44">
        <v>0</v>
      </c>
      <c r="J52" s="44">
        <v>95000</v>
      </c>
      <c r="K52" s="45">
        <v>2.2093023255813953</v>
      </c>
      <c r="L52" s="43">
        <v>0</v>
      </c>
      <c r="M52" s="44">
        <v>0</v>
      </c>
      <c r="N52" s="44">
        <v>0</v>
      </c>
      <c r="O52" s="44">
        <v>0</v>
      </c>
      <c r="P52" s="44">
        <v>0</v>
      </c>
      <c r="Q52" s="46">
        <v>0</v>
      </c>
      <c r="R52" s="47"/>
    </row>
    <row r="53" spans="1:18" ht="15.75" customHeight="1" x14ac:dyDescent="0.2">
      <c r="A53" s="21" t="s">
        <v>96</v>
      </c>
      <c r="B53" s="21" t="s">
        <v>97</v>
      </c>
      <c r="C53" s="21" t="s">
        <v>344</v>
      </c>
      <c r="D53" s="42">
        <v>36500000</v>
      </c>
      <c r="E53" s="43">
        <v>1819000</v>
      </c>
      <c r="F53" s="44">
        <v>54000</v>
      </c>
      <c r="G53" s="44">
        <v>123000</v>
      </c>
      <c r="H53" s="44">
        <v>6975000</v>
      </c>
      <c r="I53" s="44">
        <v>52000</v>
      </c>
      <c r="J53" s="44">
        <v>9023000</v>
      </c>
      <c r="K53" s="45">
        <v>24.720547945205478</v>
      </c>
      <c r="L53" s="43">
        <v>10000</v>
      </c>
      <c r="M53" s="44">
        <v>0</v>
      </c>
      <c r="N53" s="44">
        <v>1000</v>
      </c>
      <c r="O53" s="44">
        <v>0</v>
      </c>
      <c r="P53" s="44">
        <v>0</v>
      </c>
      <c r="Q53" s="46">
        <v>11000</v>
      </c>
      <c r="R53" s="47"/>
    </row>
    <row r="54" spans="1:18" ht="15.75" customHeight="1" x14ac:dyDescent="0.2">
      <c r="A54" s="21" t="s">
        <v>98</v>
      </c>
      <c r="B54" s="21" t="s">
        <v>99</v>
      </c>
      <c r="C54" s="21" t="s">
        <v>344</v>
      </c>
      <c r="D54" s="42">
        <v>35400000</v>
      </c>
      <c r="E54" s="43">
        <v>0</v>
      </c>
      <c r="F54" s="44">
        <v>4000</v>
      </c>
      <c r="G54" s="44">
        <v>0</v>
      </c>
      <c r="H54" s="44">
        <v>6328000</v>
      </c>
      <c r="I54" s="44">
        <v>85000</v>
      </c>
      <c r="J54" s="44">
        <v>6417000</v>
      </c>
      <c r="K54" s="45">
        <v>18.127118644067796</v>
      </c>
      <c r="L54" s="43">
        <v>12000</v>
      </c>
      <c r="M54" s="44">
        <v>0</v>
      </c>
      <c r="N54" s="44">
        <v>57000</v>
      </c>
      <c r="O54" s="44">
        <v>0</v>
      </c>
      <c r="P54" s="44">
        <v>0</v>
      </c>
      <c r="Q54" s="46">
        <v>69000</v>
      </c>
      <c r="R54" s="47"/>
    </row>
    <row r="55" spans="1:18" ht="15.75" customHeight="1" x14ac:dyDescent="0.2">
      <c r="A55" s="21" t="s">
        <v>100</v>
      </c>
      <c r="B55" s="21" t="s">
        <v>101</v>
      </c>
      <c r="C55" s="21" t="s">
        <v>344</v>
      </c>
      <c r="D55" s="42">
        <v>8000000</v>
      </c>
      <c r="E55" s="43">
        <v>2886000</v>
      </c>
      <c r="F55" s="44">
        <v>15000</v>
      </c>
      <c r="G55" s="44">
        <v>86000</v>
      </c>
      <c r="H55" s="44">
        <v>1804000</v>
      </c>
      <c r="I55" s="44">
        <v>0</v>
      </c>
      <c r="J55" s="44">
        <v>4791000</v>
      </c>
      <c r="K55" s="45">
        <v>59.887500000000003</v>
      </c>
      <c r="L55" s="43">
        <v>6000</v>
      </c>
      <c r="M55" s="44">
        <v>0</v>
      </c>
      <c r="N55" s="44">
        <v>0</v>
      </c>
      <c r="O55" s="44">
        <v>0</v>
      </c>
      <c r="P55" s="44">
        <v>0</v>
      </c>
      <c r="Q55" s="46">
        <v>6000</v>
      </c>
      <c r="R55" s="47"/>
    </row>
    <row r="56" spans="1:18" ht="15.75" customHeight="1" x14ac:dyDescent="0.2">
      <c r="A56" s="21" t="s">
        <v>102</v>
      </c>
      <c r="B56" s="21" t="s">
        <v>103</v>
      </c>
      <c r="C56" s="21" t="s">
        <v>344</v>
      </c>
      <c r="D56" s="42">
        <v>29600000</v>
      </c>
      <c r="E56" s="43">
        <v>248000</v>
      </c>
      <c r="F56" s="44">
        <v>0</v>
      </c>
      <c r="G56" s="44">
        <v>40000</v>
      </c>
      <c r="H56" s="44">
        <v>23000</v>
      </c>
      <c r="I56" s="44">
        <v>0</v>
      </c>
      <c r="J56" s="44">
        <v>311000</v>
      </c>
      <c r="K56" s="45">
        <v>1.0506756756756757</v>
      </c>
      <c r="L56" s="43">
        <v>441000</v>
      </c>
      <c r="M56" s="44">
        <v>0</v>
      </c>
      <c r="N56" s="44">
        <v>71000</v>
      </c>
      <c r="O56" s="44">
        <v>0</v>
      </c>
      <c r="P56" s="44">
        <v>0</v>
      </c>
      <c r="Q56" s="46">
        <v>512000</v>
      </c>
      <c r="R56" s="47"/>
    </row>
    <row r="57" spans="1:18" ht="15.75" customHeight="1" x14ac:dyDescent="0.2">
      <c r="A57" s="21" t="s">
        <v>104</v>
      </c>
      <c r="B57" s="21" t="s">
        <v>105</v>
      </c>
      <c r="C57" s="21" t="s">
        <v>344</v>
      </c>
      <c r="D57" s="42">
        <v>18900000</v>
      </c>
      <c r="E57" s="43">
        <v>3000</v>
      </c>
      <c r="F57" s="44">
        <v>11000</v>
      </c>
      <c r="G57" s="44">
        <v>4000</v>
      </c>
      <c r="H57" s="44">
        <v>706000</v>
      </c>
      <c r="I57" s="44">
        <v>0</v>
      </c>
      <c r="J57" s="44">
        <v>724000</v>
      </c>
      <c r="K57" s="45">
        <v>3.810526315789474</v>
      </c>
      <c r="L57" s="43">
        <v>58000</v>
      </c>
      <c r="M57" s="44">
        <v>0</v>
      </c>
      <c r="N57" s="44">
        <v>81000</v>
      </c>
      <c r="O57" s="44">
        <v>0</v>
      </c>
      <c r="P57" s="44">
        <v>0</v>
      </c>
      <c r="Q57" s="46">
        <v>139000</v>
      </c>
      <c r="R57" s="47"/>
    </row>
    <row r="58" spans="1:18" ht="15.75" customHeight="1" x14ac:dyDescent="0.2">
      <c r="A58" s="21" t="s">
        <v>106</v>
      </c>
      <c r="B58" s="21" t="s">
        <v>107</v>
      </c>
      <c r="C58" s="21" t="s">
        <v>344</v>
      </c>
      <c r="D58" s="42">
        <v>9500000</v>
      </c>
      <c r="E58" s="43">
        <v>5025000</v>
      </c>
      <c r="F58" s="44">
        <v>2000</v>
      </c>
      <c r="G58" s="44">
        <v>31000</v>
      </c>
      <c r="H58" s="44">
        <v>2428000</v>
      </c>
      <c r="I58" s="44">
        <v>0</v>
      </c>
      <c r="J58" s="44">
        <v>7486000</v>
      </c>
      <c r="K58" s="45">
        <v>78.8</v>
      </c>
      <c r="L58" s="43">
        <v>0</v>
      </c>
      <c r="M58" s="44">
        <v>0</v>
      </c>
      <c r="N58" s="44">
        <v>0</v>
      </c>
      <c r="O58" s="44">
        <v>0</v>
      </c>
      <c r="P58" s="44">
        <v>0</v>
      </c>
      <c r="Q58" s="46">
        <v>0</v>
      </c>
      <c r="R58" s="47"/>
    </row>
    <row r="59" spans="1:18" ht="15.75" customHeight="1" x14ac:dyDescent="0.2">
      <c r="A59" s="21" t="s">
        <v>108</v>
      </c>
      <c r="B59" s="21" t="s">
        <v>109</v>
      </c>
      <c r="C59" s="21" t="s">
        <v>344</v>
      </c>
      <c r="D59" s="42">
        <v>10400000</v>
      </c>
      <c r="E59" s="43">
        <v>326000</v>
      </c>
      <c r="F59" s="44">
        <v>1000</v>
      </c>
      <c r="G59" s="44">
        <v>96000</v>
      </c>
      <c r="H59" s="44">
        <v>274000</v>
      </c>
      <c r="I59" s="44">
        <v>1000</v>
      </c>
      <c r="J59" s="44">
        <v>698000</v>
      </c>
      <c r="K59" s="45">
        <v>6.7766990291262141</v>
      </c>
      <c r="L59" s="43">
        <v>0</v>
      </c>
      <c r="M59" s="44">
        <v>0</v>
      </c>
      <c r="N59" s="44">
        <v>0</v>
      </c>
      <c r="O59" s="44">
        <v>0</v>
      </c>
      <c r="P59" s="44">
        <v>0</v>
      </c>
      <c r="Q59" s="46">
        <v>0</v>
      </c>
      <c r="R59" s="47"/>
    </row>
    <row r="60" spans="1:18" ht="15.75" customHeight="1" x14ac:dyDescent="0.2">
      <c r="A60" s="21" t="s">
        <v>110</v>
      </c>
      <c r="B60" s="21" t="s">
        <v>111</v>
      </c>
      <c r="C60" s="21" t="s">
        <v>344</v>
      </c>
      <c r="D60" s="42">
        <v>4800000</v>
      </c>
      <c r="E60" s="43">
        <v>272000</v>
      </c>
      <c r="F60" s="44">
        <v>0</v>
      </c>
      <c r="G60" s="44">
        <v>8000</v>
      </c>
      <c r="H60" s="44">
        <v>0</v>
      </c>
      <c r="I60" s="44">
        <v>0</v>
      </c>
      <c r="J60" s="44">
        <v>280000</v>
      </c>
      <c r="K60" s="45">
        <v>5.833333333333333</v>
      </c>
      <c r="L60" s="43">
        <v>0</v>
      </c>
      <c r="M60" s="44">
        <v>0</v>
      </c>
      <c r="N60" s="44">
        <v>0</v>
      </c>
      <c r="O60" s="44">
        <v>0</v>
      </c>
      <c r="P60" s="44">
        <v>0</v>
      </c>
      <c r="Q60" s="46">
        <v>0</v>
      </c>
      <c r="R60" s="47"/>
    </row>
    <row r="61" spans="1:18" ht="15.75" customHeight="1" x14ac:dyDescent="0.2">
      <c r="A61" s="21" t="s">
        <v>112</v>
      </c>
      <c r="B61" s="21" t="s">
        <v>113</v>
      </c>
      <c r="C61" s="21" t="s">
        <v>344</v>
      </c>
      <c r="D61" s="42">
        <v>19300000</v>
      </c>
      <c r="E61" s="43">
        <v>0</v>
      </c>
      <c r="F61" s="44">
        <v>0</v>
      </c>
      <c r="G61" s="44">
        <v>22000</v>
      </c>
      <c r="H61" s="44">
        <v>520000</v>
      </c>
      <c r="I61" s="44">
        <v>0</v>
      </c>
      <c r="J61" s="44">
        <v>542000</v>
      </c>
      <c r="K61" s="45">
        <v>2.8229166666666665</v>
      </c>
      <c r="L61" s="43">
        <v>0</v>
      </c>
      <c r="M61" s="44">
        <v>0</v>
      </c>
      <c r="N61" s="44">
        <v>0</v>
      </c>
      <c r="O61" s="44">
        <v>0</v>
      </c>
      <c r="P61" s="44">
        <v>0</v>
      </c>
      <c r="Q61" s="46">
        <v>0</v>
      </c>
      <c r="R61" s="47"/>
    </row>
    <row r="62" spans="1:18" ht="15.75" customHeight="1" x14ac:dyDescent="0.2">
      <c r="A62" s="21" t="s">
        <v>114</v>
      </c>
      <c r="B62" s="21" t="s">
        <v>115</v>
      </c>
      <c r="C62" s="21" t="s">
        <v>344</v>
      </c>
      <c r="D62" s="42">
        <v>9800000</v>
      </c>
      <c r="E62" s="43">
        <v>483000</v>
      </c>
      <c r="F62" s="44">
        <v>5000</v>
      </c>
      <c r="G62" s="44">
        <v>9000</v>
      </c>
      <c r="H62" s="44">
        <v>282000</v>
      </c>
      <c r="I62" s="44">
        <v>11000</v>
      </c>
      <c r="J62" s="44">
        <v>790000</v>
      </c>
      <c r="K62" s="45">
        <v>8.0612244897959187</v>
      </c>
      <c r="L62" s="43">
        <v>987000</v>
      </c>
      <c r="M62" s="44">
        <v>0</v>
      </c>
      <c r="N62" s="44">
        <v>18000</v>
      </c>
      <c r="O62" s="44">
        <v>0</v>
      </c>
      <c r="P62" s="44">
        <v>0</v>
      </c>
      <c r="Q62" s="46">
        <v>1005000</v>
      </c>
      <c r="R62" s="47"/>
    </row>
    <row r="63" spans="1:18" ht="15.75" customHeight="1" x14ac:dyDescent="0.2">
      <c r="A63" s="21" t="s">
        <v>116</v>
      </c>
      <c r="B63" s="21" t="s">
        <v>117</v>
      </c>
      <c r="C63" s="21" t="s">
        <v>344</v>
      </c>
      <c r="D63" s="42">
        <v>11800000</v>
      </c>
      <c r="E63" s="43">
        <v>114000</v>
      </c>
      <c r="F63" s="44">
        <v>0</v>
      </c>
      <c r="G63" s="44">
        <v>44000</v>
      </c>
      <c r="H63" s="44">
        <v>4081000</v>
      </c>
      <c r="I63" s="44">
        <v>0</v>
      </c>
      <c r="J63" s="44">
        <v>4239000</v>
      </c>
      <c r="K63" s="45">
        <v>35.923728813559322</v>
      </c>
      <c r="L63" s="43">
        <v>0</v>
      </c>
      <c r="M63" s="44">
        <v>0</v>
      </c>
      <c r="N63" s="44">
        <v>0</v>
      </c>
      <c r="O63" s="44">
        <v>0</v>
      </c>
      <c r="P63" s="44">
        <v>0</v>
      </c>
      <c r="Q63" s="46">
        <v>0</v>
      </c>
      <c r="R63" s="47"/>
    </row>
    <row r="64" spans="1:18" ht="15.75" customHeight="1" x14ac:dyDescent="0.2">
      <c r="A64" s="21" t="s">
        <v>118</v>
      </c>
      <c r="B64" s="21" t="s">
        <v>119</v>
      </c>
      <c r="C64" s="21" t="s">
        <v>17</v>
      </c>
      <c r="D64" s="42">
        <v>4300000</v>
      </c>
      <c r="E64" s="43">
        <v>17000</v>
      </c>
      <c r="F64" s="44">
        <v>0</v>
      </c>
      <c r="G64" s="44">
        <v>4000</v>
      </c>
      <c r="H64" s="44">
        <v>17000</v>
      </c>
      <c r="I64" s="44">
        <v>0</v>
      </c>
      <c r="J64" s="44">
        <v>38000</v>
      </c>
      <c r="K64" s="45">
        <v>0.88372093023255816</v>
      </c>
      <c r="L64" s="43">
        <v>401000</v>
      </c>
      <c r="M64" s="44">
        <v>0</v>
      </c>
      <c r="N64" s="44">
        <v>101000</v>
      </c>
      <c r="O64" s="44">
        <v>0</v>
      </c>
      <c r="P64" s="44">
        <v>12000</v>
      </c>
      <c r="Q64" s="46">
        <v>514000</v>
      </c>
      <c r="R64" s="47"/>
    </row>
    <row r="65" spans="1:18" ht="15.75" customHeight="1" x14ac:dyDescent="0.2">
      <c r="A65" s="21" t="s">
        <v>120</v>
      </c>
      <c r="B65" s="21" t="s">
        <v>121</v>
      </c>
      <c r="C65" s="21" t="s">
        <v>17</v>
      </c>
      <c r="D65" s="42">
        <v>7700000</v>
      </c>
      <c r="E65" s="43">
        <v>3185000</v>
      </c>
      <c r="F65" s="44">
        <v>0</v>
      </c>
      <c r="G65" s="44">
        <v>0</v>
      </c>
      <c r="H65" s="44">
        <v>0</v>
      </c>
      <c r="I65" s="44">
        <v>32000</v>
      </c>
      <c r="J65" s="44">
        <v>3217000</v>
      </c>
      <c r="K65" s="45">
        <v>41.779220779220779</v>
      </c>
      <c r="L65" s="43">
        <v>1086000</v>
      </c>
      <c r="M65" s="44">
        <v>1000</v>
      </c>
      <c r="N65" s="44">
        <v>119000</v>
      </c>
      <c r="O65" s="44">
        <v>0</v>
      </c>
      <c r="P65" s="44">
        <v>0</v>
      </c>
      <c r="Q65" s="46">
        <v>1206000</v>
      </c>
      <c r="R65" s="47"/>
    </row>
    <row r="66" spans="1:18" ht="15.75" customHeight="1" x14ac:dyDescent="0.2">
      <c r="A66" s="21" t="s">
        <v>122</v>
      </c>
      <c r="B66" s="21" t="s">
        <v>123</v>
      </c>
      <c r="C66" s="21" t="s">
        <v>17</v>
      </c>
      <c r="D66" s="42">
        <v>181600000</v>
      </c>
      <c r="E66" s="43">
        <v>91000</v>
      </c>
      <c r="F66" s="44">
        <v>0</v>
      </c>
      <c r="G66" s="44">
        <v>11000</v>
      </c>
      <c r="H66" s="44">
        <v>42000</v>
      </c>
      <c r="I66" s="44">
        <v>0</v>
      </c>
      <c r="J66" s="44">
        <v>144000</v>
      </c>
      <c r="K66" s="45">
        <v>7.9295154185022032E-2</v>
      </c>
      <c r="L66" s="43">
        <v>9439000</v>
      </c>
      <c r="M66" s="44">
        <v>74000</v>
      </c>
      <c r="N66" s="44">
        <v>550000</v>
      </c>
      <c r="O66" s="44">
        <v>0</v>
      </c>
      <c r="P66" s="44">
        <v>42000</v>
      </c>
      <c r="Q66" s="46">
        <v>10105000</v>
      </c>
      <c r="R66" s="47"/>
    </row>
    <row r="67" spans="1:18" ht="15.75" customHeight="1" x14ac:dyDescent="0.2">
      <c r="A67" s="21" t="s">
        <v>124</v>
      </c>
      <c r="B67" s="21" t="s">
        <v>125</v>
      </c>
      <c r="C67" s="21" t="s">
        <v>17</v>
      </c>
      <c r="D67" s="42">
        <v>300000</v>
      </c>
      <c r="E67" s="43">
        <v>0</v>
      </c>
      <c r="F67" s="44">
        <v>1000</v>
      </c>
      <c r="G67" s="44">
        <v>7000</v>
      </c>
      <c r="H67" s="44">
        <v>0</v>
      </c>
      <c r="I67" s="44">
        <v>0</v>
      </c>
      <c r="J67" s="44">
        <v>8000</v>
      </c>
      <c r="K67" s="45">
        <v>2</v>
      </c>
      <c r="L67" s="43">
        <v>0</v>
      </c>
      <c r="M67" s="44">
        <v>0</v>
      </c>
      <c r="N67" s="44">
        <v>0</v>
      </c>
      <c r="O67" s="44">
        <v>0</v>
      </c>
      <c r="P67" s="44">
        <v>0</v>
      </c>
      <c r="Q67" s="46">
        <v>0</v>
      </c>
      <c r="R67" s="47"/>
    </row>
    <row r="68" spans="1:18" ht="15.75" customHeight="1" x14ac:dyDescent="0.2">
      <c r="A68" s="21" t="s">
        <v>126</v>
      </c>
      <c r="B68" s="21" t="s">
        <v>127</v>
      </c>
      <c r="C68" s="21" t="s">
        <v>17</v>
      </c>
      <c r="D68" s="42">
        <v>14200000</v>
      </c>
      <c r="E68" s="43">
        <v>2744000</v>
      </c>
      <c r="F68" s="44">
        <v>0</v>
      </c>
      <c r="G68" s="44">
        <v>435000</v>
      </c>
      <c r="H68" s="44">
        <v>14000</v>
      </c>
      <c r="I68" s="44">
        <v>115000</v>
      </c>
      <c r="J68" s="44">
        <v>3308000</v>
      </c>
      <c r="K68" s="45">
        <v>23.295774647887324</v>
      </c>
      <c r="L68" s="43">
        <v>932000</v>
      </c>
      <c r="M68" s="44">
        <v>1000</v>
      </c>
      <c r="N68" s="44">
        <v>280000</v>
      </c>
      <c r="O68" s="44">
        <v>0</v>
      </c>
      <c r="P68" s="44">
        <v>0</v>
      </c>
      <c r="Q68" s="46">
        <v>1213000</v>
      </c>
      <c r="R68" s="47"/>
    </row>
    <row r="69" spans="1:18" ht="15.75" customHeight="1" x14ac:dyDescent="0.2">
      <c r="A69" s="21" t="s">
        <v>128</v>
      </c>
      <c r="B69" s="21" t="s">
        <v>129</v>
      </c>
      <c r="C69" s="21" t="s">
        <v>17</v>
      </c>
      <c r="D69" s="42">
        <v>2300000</v>
      </c>
      <c r="E69" s="43">
        <v>1019000</v>
      </c>
      <c r="F69" s="44">
        <v>57000</v>
      </c>
      <c r="G69" s="44">
        <v>97000</v>
      </c>
      <c r="H69" s="44">
        <v>13000</v>
      </c>
      <c r="I69" s="44">
        <v>0</v>
      </c>
      <c r="J69" s="44">
        <v>1186000</v>
      </c>
      <c r="K69" s="45">
        <v>51.565217391304351</v>
      </c>
      <c r="L69" s="43">
        <v>324000</v>
      </c>
      <c r="M69" s="44">
        <v>0</v>
      </c>
      <c r="N69" s="44">
        <v>31000</v>
      </c>
      <c r="O69" s="44">
        <v>0</v>
      </c>
      <c r="P69" s="44">
        <v>0</v>
      </c>
      <c r="Q69" s="46">
        <v>355000</v>
      </c>
      <c r="R69" s="47"/>
    </row>
    <row r="70" spans="1:18" ht="15.75" customHeight="1" x14ac:dyDescent="0.2">
      <c r="A70" s="21" t="s">
        <v>130</v>
      </c>
      <c r="B70" s="21" t="s">
        <v>131</v>
      </c>
      <c r="C70" s="21" t="s">
        <v>17</v>
      </c>
      <c r="D70" s="42">
        <v>3000000</v>
      </c>
      <c r="E70" s="43">
        <v>209000</v>
      </c>
      <c r="F70" s="44">
        <v>0</v>
      </c>
      <c r="G70" s="44">
        <v>1000</v>
      </c>
      <c r="H70" s="44">
        <v>101000</v>
      </c>
      <c r="I70" s="44">
        <v>0</v>
      </c>
      <c r="J70" s="44">
        <v>311000</v>
      </c>
      <c r="K70" s="45">
        <v>10.366666666666667</v>
      </c>
      <c r="L70" s="43">
        <v>8715000</v>
      </c>
      <c r="M70" s="44">
        <v>2000</v>
      </c>
      <c r="N70" s="44">
        <v>36000</v>
      </c>
      <c r="O70" s="44">
        <v>0</v>
      </c>
      <c r="P70" s="44">
        <v>0</v>
      </c>
      <c r="Q70" s="46">
        <v>8753000</v>
      </c>
      <c r="R70" s="47"/>
    </row>
    <row r="71" spans="1:18" ht="15.75" customHeight="1" x14ac:dyDescent="0.2">
      <c r="A71" s="21" t="s">
        <v>132</v>
      </c>
      <c r="B71" s="21" t="s">
        <v>133</v>
      </c>
      <c r="C71" s="21" t="s">
        <v>17</v>
      </c>
      <c r="D71" s="42">
        <v>29600000</v>
      </c>
      <c r="E71" s="43">
        <v>2173000</v>
      </c>
      <c r="F71" s="44">
        <v>0</v>
      </c>
      <c r="G71" s="44">
        <v>7000</v>
      </c>
      <c r="H71" s="44">
        <v>0</v>
      </c>
      <c r="I71" s="44">
        <v>11000</v>
      </c>
      <c r="J71" s="44">
        <v>2191000</v>
      </c>
      <c r="K71" s="45">
        <v>7.4020270270270263</v>
      </c>
      <c r="L71" s="43">
        <v>35197000</v>
      </c>
      <c r="M71" s="44">
        <v>6000</v>
      </c>
      <c r="N71" s="44">
        <v>110000</v>
      </c>
      <c r="O71" s="44">
        <v>0</v>
      </c>
      <c r="P71" s="44">
        <v>0</v>
      </c>
      <c r="Q71" s="46">
        <v>35313000</v>
      </c>
      <c r="R71" s="47"/>
    </row>
    <row r="72" spans="1:18" ht="15.75" customHeight="1" x14ac:dyDescent="0.2">
      <c r="A72" s="21" t="s">
        <v>134</v>
      </c>
      <c r="B72" s="21" t="s">
        <v>135</v>
      </c>
      <c r="C72" s="21" t="s">
        <v>17</v>
      </c>
      <c r="D72" s="42">
        <v>1400000</v>
      </c>
      <c r="E72" s="43">
        <v>68000</v>
      </c>
      <c r="F72" s="44">
        <v>0</v>
      </c>
      <c r="G72" s="44">
        <v>2000</v>
      </c>
      <c r="H72" s="44">
        <v>0</v>
      </c>
      <c r="I72" s="44">
        <v>7000</v>
      </c>
      <c r="J72" s="44">
        <v>77000</v>
      </c>
      <c r="K72" s="45">
        <v>5.5</v>
      </c>
      <c r="L72" s="43">
        <v>554000</v>
      </c>
      <c r="M72" s="44">
        <v>0</v>
      </c>
      <c r="N72" s="44">
        <v>20000</v>
      </c>
      <c r="O72" s="44">
        <v>0</v>
      </c>
      <c r="P72" s="44">
        <v>0</v>
      </c>
      <c r="Q72" s="46">
        <v>574000</v>
      </c>
      <c r="R72" s="47"/>
    </row>
    <row r="73" spans="1:18" ht="15.75" customHeight="1" x14ac:dyDescent="0.2">
      <c r="A73" s="21" t="s">
        <v>136</v>
      </c>
      <c r="B73" s="21" t="s">
        <v>137</v>
      </c>
      <c r="C73" s="21" t="s">
        <v>17</v>
      </c>
      <c r="D73" s="42">
        <v>9600000</v>
      </c>
      <c r="E73" s="43">
        <v>1670000</v>
      </c>
      <c r="F73" s="44">
        <v>0</v>
      </c>
      <c r="G73" s="44">
        <v>547000</v>
      </c>
      <c r="H73" s="44">
        <v>28000</v>
      </c>
      <c r="I73" s="44">
        <v>57000</v>
      </c>
      <c r="J73" s="44">
        <v>2302000</v>
      </c>
      <c r="K73" s="45">
        <v>23.979166666666664</v>
      </c>
      <c r="L73" s="43">
        <v>958000</v>
      </c>
      <c r="M73" s="44">
        <v>58000</v>
      </c>
      <c r="N73" s="44">
        <v>314000</v>
      </c>
      <c r="O73" s="44">
        <v>0</v>
      </c>
      <c r="P73" s="44">
        <v>0</v>
      </c>
      <c r="Q73" s="46">
        <v>1330000</v>
      </c>
      <c r="R73" s="47"/>
    </row>
    <row r="74" spans="1:18" ht="15.75" customHeight="1" x14ac:dyDescent="0.2">
      <c r="A74" s="21" t="s">
        <v>138</v>
      </c>
      <c r="B74" s="21" t="s">
        <v>139</v>
      </c>
      <c r="C74" s="21" t="s">
        <v>17</v>
      </c>
      <c r="D74" s="42">
        <v>12600000</v>
      </c>
      <c r="E74" s="43">
        <v>7602000</v>
      </c>
      <c r="F74" s="44">
        <v>1027000</v>
      </c>
      <c r="G74" s="44">
        <v>364000</v>
      </c>
      <c r="H74" s="44">
        <v>216000</v>
      </c>
      <c r="I74" s="44">
        <v>32000</v>
      </c>
      <c r="J74" s="44">
        <v>9241000</v>
      </c>
      <c r="K74" s="45">
        <v>73.928000000000011</v>
      </c>
      <c r="L74" s="43">
        <v>292000</v>
      </c>
      <c r="M74" s="44">
        <v>0</v>
      </c>
      <c r="N74" s="44">
        <v>14000</v>
      </c>
      <c r="O74" s="44">
        <v>0</v>
      </c>
      <c r="P74" s="44">
        <v>0</v>
      </c>
      <c r="Q74" s="46">
        <v>306000</v>
      </c>
      <c r="R74" s="47"/>
    </row>
    <row r="75" spans="1:18" ht="15.75" customHeight="1" x14ac:dyDescent="0.2">
      <c r="A75" s="21" t="s">
        <v>140</v>
      </c>
      <c r="B75" s="21" t="s">
        <v>141</v>
      </c>
      <c r="C75" s="21" t="s">
        <v>344</v>
      </c>
      <c r="D75" s="42">
        <v>22700000</v>
      </c>
      <c r="E75" s="43">
        <v>2330000</v>
      </c>
      <c r="F75" s="44">
        <v>4000</v>
      </c>
      <c r="G75" s="44">
        <v>135000</v>
      </c>
      <c r="H75" s="44">
        <v>6576000</v>
      </c>
      <c r="I75" s="44">
        <v>0</v>
      </c>
      <c r="J75" s="44">
        <v>9045000</v>
      </c>
      <c r="K75" s="45">
        <v>39.845814977973568</v>
      </c>
      <c r="L75" s="43">
        <v>50000</v>
      </c>
      <c r="M75" s="44">
        <v>0</v>
      </c>
      <c r="N75" s="44">
        <v>3000</v>
      </c>
      <c r="O75" s="44">
        <v>0</v>
      </c>
      <c r="P75" s="44">
        <v>0</v>
      </c>
      <c r="Q75" s="46">
        <v>53000</v>
      </c>
      <c r="R75" s="47"/>
    </row>
    <row r="76" spans="1:18" ht="15.75" customHeight="1" x14ac:dyDescent="0.2">
      <c r="A76" s="21" t="s">
        <v>142</v>
      </c>
      <c r="B76" s="21" t="s">
        <v>143</v>
      </c>
      <c r="C76" s="21" t="s">
        <v>344</v>
      </c>
      <c r="D76" s="42">
        <v>32400000</v>
      </c>
      <c r="E76" s="43">
        <v>11641000</v>
      </c>
      <c r="F76" s="44">
        <v>116000</v>
      </c>
      <c r="G76" s="44">
        <v>77000</v>
      </c>
      <c r="H76" s="44">
        <v>5844000</v>
      </c>
      <c r="I76" s="44">
        <v>18000</v>
      </c>
      <c r="J76" s="44">
        <v>17696000</v>
      </c>
      <c r="K76" s="45">
        <v>54.617283950617278</v>
      </c>
      <c r="L76" s="43">
        <v>105000</v>
      </c>
      <c r="M76" s="44">
        <v>0</v>
      </c>
      <c r="N76" s="44">
        <v>1000</v>
      </c>
      <c r="O76" s="44">
        <v>0</v>
      </c>
      <c r="P76" s="44">
        <v>0</v>
      </c>
      <c r="Q76" s="46">
        <v>106000</v>
      </c>
      <c r="R76" s="47"/>
    </row>
    <row r="77" spans="1:18" ht="15.75" customHeight="1" x14ac:dyDescent="0.2">
      <c r="A77" s="21" t="s">
        <v>144</v>
      </c>
      <c r="B77" s="21" t="s">
        <v>145</v>
      </c>
      <c r="C77" s="21" t="s">
        <v>344</v>
      </c>
      <c r="D77" s="42">
        <v>16700000</v>
      </c>
      <c r="E77" s="43">
        <v>3289000</v>
      </c>
      <c r="F77" s="44">
        <v>11000</v>
      </c>
      <c r="G77" s="44">
        <v>181000</v>
      </c>
      <c r="H77" s="44">
        <v>579000</v>
      </c>
      <c r="I77" s="44">
        <v>70000</v>
      </c>
      <c r="J77" s="44">
        <v>4130000</v>
      </c>
      <c r="K77" s="45">
        <v>24.730538922155691</v>
      </c>
      <c r="L77" s="43">
        <v>0</v>
      </c>
      <c r="M77" s="44">
        <v>0</v>
      </c>
      <c r="N77" s="44">
        <v>0</v>
      </c>
      <c r="O77" s="44">
        <v>0</v>
      </c>
      <c r="P77" s="44">
        <v>0</v>
      </c>
      <c r="Q77" s="46">
        <v>0</v>
      </c>
      <c r="R77" s="47"/>
    </row>
    <row r="78" spans="1:18" ht="15.75" customHeight="1" x14ac:dyDescent="0.2">
      <c r="A78" s="21" t="s">
        <v>146</v>
      </c>
      <c r="B78" s="21" t="s">
        <v>147</v>
      </c>
      <c r="C78" s="21" t="s">
        <v>344</v>
      </c>
      <c r="D78" s="42">
        <v>19200000</v>
      </c>
      <c r="E78" s="43">
        <v>3866000</v>
      </c>
      <c r="F78" s="44">
        <v>1000</v>
      </c>
      <c r="G78" s="44">
        <v>51000</v>
      </c>
      <c r="H78" s="44">
        <v>8811000</v>
      </c>
      <c r="I78" s="44">
        <v>0</v>
      </c>
      <c r="J78" s="44">
        <v>12729000</v>
      </c>
      <c r="K78" s="45">
        <v>66.643979057591622</v>
      </c>
      <c r="L78" s="43">
        <v>207000</v>
      </c>
      <c r="M78" s="44">
        <v>0</v>
      </c>
      <c r="N78" s="44">
        <v>3000</v>
      </c>
      <c r="O78" s="44">
        <v>0</v>
      </c>
      <c r="P78" s="44">
        <v>0</v>
      </c>
      <c r="Q78" s="46">
        <v>210000</v>
      </c>
      <c r="R78" s="47"/>
    </row>
    <row r="79" spans="1:18" s="48" customFormat="1" ht="63.75" x14ac:dyDescent="0.2">
      <c r="A79" s="21" t="s">
        <v>148</v>
      </c>
      <c r="B79" s="21" t="s">
        <v>149</v>
      </c>
      <c r="C79" s="21" t="s">
        <v>344</v>
      </c>
      <c r="D79" s="42">
        <v>25300000</v>
      </c>
      <c r="E79" s="43">
        <v>9069000</v>
      </c>
      <c r="F79" s="44">
        <v>8000</v>
      </c>
      <c r="G79" s="44">
        <v>15000</v>
      </c>
      <c r="H79" s="44">
        <v>363000</v>
      </c>
      <c r="I79" s="44">
        <v>36000</v>
      </c>
      <c r="J79" s="44">
        <v>9491000</v>
      </c>
      <c r="K79" s="45">
        <v>37.677649861055976</v>
      </c>
      <c r="L79" s="43">
        <v>43000</v>
      </c>
      <c r="M79" s="44">
        <v>0</v>
      </c>
      <c r="N79" s="44">
        <v>0</v>
      </c>
      <c r="O79" s="44">
        <v>0</v>
      </c>
      <c r="P79" s="44">
        <v>0</v>
      </c>
      <c r="Q79" s="46">
        <v>43000</v>
      </c>
      <c r="R79" s="47" t="s">
        <v>366</v>
      </c>
    </row>
    <row r="80" spans="1:18" ht="15.75" customHeight="1" x14ac:dyDescent="0.2">
      <c r="A80" s="21" t="s">
        <v>150</v>
      </c>
      <c r="B80" s="21" t="s">
        <v>151</v>
      </c>
      <c r="C80" s="21" t="s">
        <v>344</v>
      </c>
      <c r="D80" s="42">
        <v>17000000</v>
      </c>
      <c r="E80" s="43">
        <v>147000</v>
      </c>
      <c r="F80" s="44">
        <v>0</v>
      </c>
      <c r="G80" s="44">
        <v>32000</v>
      </c>
      <c r="H80" s="44">
        <v>735000</v>
      </c>
      <c r="I80" s="44">
        <v>0</v>
      </c>
      <c r="J80" s="44">
        <v>914000</v>
      </c>
      <c r="K80" s="45">
        <v>5.3764705882352946</v>
      </c>
      <c r="L80" s="43">
        <v>43000</v>
      </c>
      <c r="M80" s="44">
        <v>0</v>
      </c>
      <c r="N80" s="44">
        <v>9000</v>
      </c>
      <c r="O80" s="44">
        <v>0</v>
      </c>
      <c r="P80" s="44">
        <v>0</v>
      </c>
      <c r="Q80" s="46">
        <v>52000</v>
      </c>
      <c r="R80" s="47"/>
    </row>
    <row r="81" spans="1:18" ht="15.75" customHeight="1" x14ac:dyDescent="0.2">
      <c r="A81" s="21" t="s">
        <v>152</v>
      </c>
      <c r="B81" s="21" t="s">
        <v>153</v>
      </c>
      <c r="C81" s="21" t="s">
        <v>344</v>
      </c>
      <c r="D81" s="42">
        <v>20600000</v>
      </c>
      <c r="E81" s="43">
        <v>7529000</v>
      </c>
      <c r="F81" s="44">
        <v>1031000</v>
      </c>
      <c r="G81" s="44">
        <v>384000</v>
      </c>
      <c r="H81" s="44">
        <v>899000</v>
      </c>
      <c r="I81" s="44">
        <v>2000</v>
      </c>
      <c r="J81" s="44">
        <v>9845000</v>
      </c>
      <c r="K81" s="45">
        <v>47.791262135922331</v>
      </c>
      <c r="L81" s="43">
        <v>0</v>
      </c>
      <c r="M81" s="44">
        <v>0</v>
      </c>
      <c r="N81" s="44">
        <v>0</v>
      </c>
      <c r="O81" s="44">
        <v>0</v>
      </c>
      <c r="P81" s="44">
        <v>0</v>
      </c>
      <c r="Q81" s="46">
        <v>0</v>
      </c>
      <c r="R81" s="47"/>
    </row>
    <row r="82" spans="1:18" ht="15.75" customHeight="1" x14ac:dyDescent="0.2">
      <c r="A82" s="21" t="s">
        <v>154</v>
      </c>
      <c r="B82" s="21" t="s">
        <v>155</v>
      </c>
      <c r="C82" s="21" t="s">
        <v>344</v>
      </c>
      <c r="D82" s="42">
        <v>6200000</v>
      </c>
      <c r="E82" s="43">
        <v>1459000</v>
      </c>
      <c r="F82" s="44">
        <v>5000</v>
      </c>
      <c r="G82" s="44">
        <v>82000</v>
      </c>
      <c r="H82" s="44">
        <v>928000</v>
      </c>
      <c r="I82" s="44">
        <v>0</v>
      </c>
      <c r="J82" s="44">
        <v>2474000</v>
      </c>
      <c r="K82" s="45">
        <v>39.903225806451616</v>
      </c>
      <c r="L82" s="43">
        <v>0</v>
      </c>
      <c r="M82" s="44">
        <v>0</v>
      </c>
      <c r="N82" s="44">
        <v>0</v>
      </c>
      <c r="O82" s="44">
        <v>0</v>
      </c>
      <c r="P82" s="44">
        <v>0</v>
      </c>
      <c r="Q82" s="46">
        <v>0</v>
      </c>
      <c r="R82" s="47"/>
    </row>
    <row r="83" spans="1:18" ht="15.75" customHeight="1" x14ac:dyDescent="0.2">
      <c r="A83" s="21" t="s">
        <v>156</v>
      </c>
      <c r="B83" s="21" t="s">
        <v>157</v>
      </c>
      <c r="C83" s="21" t="s">
        <v>344</v>
      </c>
      <c r="D83" s="42">
        <v>4600000</v>
      </c>
      <c r="E83" s="43">
        <v>498000</v>
      </c>
      <c r="F83" s="44">
        <v>6000</v>
      </c>
      <c r="G83" s="44">
        <v>69000</v>
      </c>
      <c r="H83" s="44">
        <v>0</v>
      </c>
      <c r="I83" s="44">
        <v>13000</v>
      </c>
      <c r="J83" s="44">
        <v>586000</v>
      </c>
      <c r="K83" s="45">
        <v>12.739130434782609</v>
      </c>
      <c r="L83" s="43">
        <v>62000</v>
      </c>
      <c r="M83" s="44">
        <v>0</v>
      </c>
      <c r="N83" s="44">
        <v>9000</v>
      </c>
      <c r="O83" s="44">
        <v>0</v>
      </c>
      <c r="P83" s="44">
        <v>0</v>
      </c>
      <c r="Q83" s="46">
        <v>71000</v>
      </c>
      <c r="R83" s="47"/>
    </row>
    <row r="84" spans="1:18" ht="15.75" customHeight="1" x14ac:dyDescent="0.2">
      <c r="A84" s="21" t="s">
        <v>158</v>
      </c>
      <c r="B84" s="21" t="s">
        <v>159</v>
      </c>
      <c r="C84" s="21" t="s">
        <v>17</v>
      </c>
      <c r="D84" s="42">
        <v>11900000</v>
      </c>
      <c r="E84" s="43">
        <v>0</v>
      </c>
      <c r="F84" s="44">
        <v>0</v>
      </c>
      <c r="G84" s="44">
        <v>0</v>
      </c>
      <c r="H84" s="44">
        <v>0</v>
      </c>
      <c r="I84" s="44">
        <v>0</v>
      </c>
      <c r="J84" s="44">
        <v>0</v>
      </c>
      <c r="K84" s="45">
        <v>0</v>
      </c>
      <c r="L84" s="43">
        <v>1506000</v>
      </c>
      <c r="M84" s="44">
        <v>0</v>
      </c>
      <c r="N84" s="44">
        <v>121000</v>
      </c>
      <c r="O84" s="44">
        <v>0</v>
      </c>
      <c r="P84" s="44">
        <v>0</v>
      </c>
      <c r="Q84" s="46">
        <v>1627000</v>
      </c>
      <c r="R84" s="47"/>
    </row>
    <row r="85" spans="1:18" ht="15.75" customHeight="1" x14ac:dyDescent="0.2">
      <c r="A85" s="21" t="s">
        <v>160</v>
      </c>
      <c r="B85" s="21" t="s">
        <v>161</v>
      </c>
      <c r="C85" s="21" t="s">
        <v>17</v>
      </c>
      <c r="D85" s="42">
        <v>22300000</v>
      </c>
      <c r="E85" s="43">
        <v>23000</v>
      </c>
      <c r="F85" s="44">
        <v>0</v>
      </c>
      <c r="G85" s="44">
        <v>2000</v>
      </c>
      <c r="H85" s="44">
        <v>0</v>
      </c>
      <c r="I85" s="44">
        <v>0</v>
      </c>
      <c r="J85" s="44">
        <v>25000</v>
      </c>
      <c r="K85" s="45">
        <v>0.11210762331838565</v>
      </c>
      <c r="L85" s="43">
        <v>1042000</v>
      </c>
      <c r="M85" s="44">
        <v>0</v>
      </c>
      <c r="N85" s="44">
        <v>95000</v>
      </c>
      <c r="O85" s="44">
        <v>0</v>
      </c>
      <c r="P85" s="44">
        <v>234000</v>
      </c>
      <c r="Q85" s="46">
        <v>1371000</v>
      </c>
      <c r="R85" s="47"/>
    </row>
    <row r="86" spans="1:18" ht="15.75" customHeight="1" x14ac:dyDescent="0.2">
      <c r="A86" s="21" t="s">
        <v>162</v>
      </c>
      <c r="B86" s="21" t="s">
        <v>163</v>
      </c>
      <c r="C86" s="21" t="s">
        <v>17</v>
      </c>
      <c r="D86" s="42">
        <v>9200000</v>
      </c>
      <c r="E86" s="43">
        <v>145000</v>
      </c>
      <c r="F86" s="44">
        <v>0</v>
      </c>
      <c r="G86" s="44">
        <v>22000</v>
      </c>
      <c r="H86" s="44">
        <v>128000</v>
      </c>
      <c r="I86" s="44">
        <v>0</v>
      </c>
      <c r="J86" s="44">
        <v>295000</v>
      </c>
      <c r="K86" s="45">
        <v>3.206521739130435</v>
      </c>
      <c r="L86" s="43">
        <v>1005000</v>
      </c>
      <c r="M86" s="44">
        <v>1000</v>
      </c>
      <c r="N86" s="44">
        <v>156000</v>
      </c>
      <c r="O86" s="44">
        <v>0</v>
      </c>
      <c r="P86" s="44">
        <v>0</v>
      </c>
      <c r="Q86" s="46">
        <v>1162000</v>
      </c>
      <c r="R86" s="47"/>
    </row>
    <row r="87" spans="1:18" ht="15.75" customHeight="1" x14ac:dyDescent="0.2">
      <c r="A87" s="21" t="s">
        <v>164</v>
      </c>
      <c r="B87" s="21" t="s">
        <v>165</v>
      </c>
      <c r="C87" s="21" t="s">
        <v>17</v>
      </c>
      <c r="D87" s="42">
        <v>9000000</v>
      </c>
      <c r="E87" s="43">
        <v>796000</v>
      </c>
      <c r="F87" s="44">
        <v>0</v>
      </c>
      <c r="G87" s="44">
        <v>121000</v>
      </c>
      <c r="H87" s="44">
        <v>815000</v>
      </c>
      <c r="I87" s="44">
        <v>27000</v>
      </c>
      <c r="J87" s="44">
        <v>1759000</v>
      </c>
      <c r="K87" s="45">
        <v>19.764044943820224</v>
      </c>
      <c r="L87" s="43">
        <v>884000</v>
      </c>
      <c r="M87" s="44">
        <v>15000</v>
      </c>
      <c r="N87" s="44">
        <v>135000</v>
      </c>
      <c r="O87" s="44">
        <v>0</v>
      </c>
      <c r="P87" s="44">
        <v>0</v>
      </c>
      <c r="Q87" s="46">
        <v>1034000</v>
      </c>
      <c r="R87" s="47"/>
    </row>
    <row r="88" spans="1:18" ht="15.75" customHeight="1" x14ac:dyDescent="0.2">
      <c r="A88" s="21" t="s">
        <v>166</v>
      </c>
      <c r="B88" s="21" t="s">
        <v>167</v>
      </c>
      <c r="C88" s="21" t="s">
        <v>17</v>
      </c>
      <c r="D88" s="42">
        <v>53300000</v>
      </c>
      <c r="E88" s="43">
        <v>218000</v>
      </c>
      <c r="F88" s="44">
        <v>0</v>
      </c>
      <c r="G88" s="44">
        <v>16000</v>
      </c>
      <c r="H88" s="44">
        <v>0</v>
      </c>
      <c r="I88" s="44">
        <v>0</v>
      </c>
      <c r="J88" s="44">
        <v>234000</v>
      </c>
      <c r="K88" s="45">
        <v>0.43984962406015038</v>
      </c>
      <c r="L88" s="43">
        <v>8931000</v>
      </c>
      <c r="M88" s="44">
        <v>25000</v>
      </c>
      <c r="N88" s="44">
        <v>667000</v>
      </c>
      <c r="O88" s="44">
        <v>0</v>
      </c>
      <c r="P88" s="44">
        <v>0</v>
      </c>
      <c r="Q88" s="46">
        <v>9623000</v>
      </c>
      <c r="R88" s="47"/>
    </row>
    <row r="89" spans="1:18" ht="15.75" customHeight="1" x14ac:dyDescent="0.2">
      <c r="A89" s="21" t="s">
        <v>168</v>
      </c>
      <c r="B89" s="21" t="s">
        <v>169</v>
      </c>
      <c r="C89" s="21" t="s">
        <v>17</v>
      </c>
      <c r="D89" s="42">
        <v>22000000</v>
      </c>
      <c r="E89" s="43">
        <v>59000</v>
      </c>
      <c r="F89" s="44">
        <v>0</v>
      </c>
      <c r="G89" s="44">
        <v>5000</v>
      </c>
      <c r="H89" s="44">
        <v>738000</v>
      </c>
      <c r="I89" s="44">
        <v>13000</v>
      </c>
      <c r="J89" s="44">
        <v>815000</v>
      </c>
      <c r="K89" s="45">
        <v>3.704545454545455</v>
      </c>
      <c r="L89" s="43">
        <v>2666000</v>
      </c>
      <c r="M89" s="44">
        <v>1000</v>
      </c>
      <c r="N89" s="44">
        <v>217000</v>
      </c>
      <c r="O89" s="44">
        <v>0</v>
      </c>
      <c r="P89" s="44">
        <v>100000</v>
      </c>
      <c r="Q89" s="46">
        <v>2984000</v>
      </c>
      <c r="R89" s="47"/>
    </row>
    <row r="90" spans="1:18" ht="15.75" customHeight="1" x14ac:dyDescent="0.2">
      <c r="A90" s="21" t="s">
        <v>170</v>
      </c>
      <c r="B90" s="21" t="s">
        <v>171</v>
      </c>
      <c r="C90" s="21" t="s">
        <v>17</v>
      </c>
      <c r="D90" s="42">
        <v>77100000</v>
      </c>
      <c r="E90" s="43">
        <v>157000</v>
      </c>
      <c r="F90" s="44">
        <v>0</v>
      </c>
      <c r="G90" s="44">
        <v>32000</v>
      </c>
      <c r="H90" s="44">
        <v>0</v>
      </c>
      <c r="I90" s="44">
        <v>0</v>
      </c>
      <c r="J90" s="44">
        <v>189000</v>
      </c>
      <c r="K90" s="45">
        <v>0.24513618677042801</v>
      </c>
      <c r="L90" s="43">
        <v>2895000</v>
      </c>
      <c r="M90" s="44">
        <v>1000</v>
      </c>
      <c r="N90" s="44">
        <v>595000</v>
      </c>
      <c r="O90" s="44">
        <v>0</v>
      </c>
      <c r="P90" s="44">
        <v>0</v>
      </c>
      <c r="Q90" s="46">
        <v>3491000</v>
      </c>
      <c r="R90" s="47"/>
    </row>
    <row r="91" spans="1:18" ht="15.75" customHeight="1" x14ac:dyDescent="0.2">
      <c r="A91" s="21" t="s">
        <v>172</v>
      </c>
      <c r="B91" s="21" t="s">
        <v>173</v>
      </c>
      <c r="C91" s="21" t="s">
        <v>17</v>
      </c>
      <c r="D91" s="42">
        <v>33000000</v>
      </c>
      <c r="E91" s="43">
        <v>6048000</v>
      </c>
      <c r="F91" s="44">
        <v>0</v>
      </c>
      <c r="G91" s="44">
        <v>55000</v>
      </c>
      <c r="H91" s="44">
        <v>0</v>
      </c>
      <c r="I91" s="44">
        <v>0</v>
      </c>
      <c r="J91" s="44">
        <v>6103000</v>
      </c>
      <c r="K91" s="45">
        <v>18.493939393939392</v>
      </c>
      <c r="L91" s="43">
        <v>8559000</v>
      </c>
      <c r="M91" s="44">
        <v>0</v>
      </c>
      <c r="N91" s="44">
        <v>26000</v>
      </c>
      <c r="O91" s="44">
        <v>0</v>
      </c>
      <c r="P91" s="44">
        <v>0</v>
      </c>
      <c r="Q91" s="46">
        <v>8585000</v>
      </c>
      <c r="R91" s="47"/>
    </row>
    <row r="92" spans="1:18" ht="15.75" customHeight="1" x14ac:dyDescent="0.2">
      <c r="A92" s="21" t="s">
        <v>174</v>
      </c>
      <c r="B92" s="21" t="s">
        <v>175</v>
      </c>
      <c r="C92" s="21" t="s">
        <v>17</v>
      </c>
      <c r="D92" s="42">
        <v>12800000</v>
      </c>
      <c r="E92" s="43">
        <v>0</v>
      </c>
      <c r="F92" s="44">
        <v>0</v>
      </c>
      <c r="G92" s="44">
        <v>0</v>
      </c>
      <c r="H92" s="44">
        <v>0</v>
      </c>
      <c r="I92" s="44">
        <v>0</v>
      </c>
      <c r="J92" s="44">
        <v>0</v>
      </c>
      <c r="K92" s="45">
        <v>0</v>
      </c>
      <c r="L92" s="43">
        <v>723000</v>
      </c>
      <c r="M92" s="44">
        <v>0</v>
      </c>
      <c r="N92" s="44">
        <v>155000</v>
      </c>
      <c r="O92" s="44">
        <v>0</v>
      </c>
      <c r="P92" s="44">
        <v>0</v>
      </c>
      <c r="Q92" s="46">
        <v>878000</v>
      </c>
      <c r="R92" s="47"/>
    </row>
    <row r="93" spans="1:18" ht="15.75" customHeight="1" x14ac:dyDescent="0.2">
      <c r="A93" s="21" t="s">
        <v>176</v>
      </c>
      <c r="B93" s="21" t="s">
        <v>177</v>
      </c>
      <c r="C93" s="21" t="s">
        <v>17</v>
      </c>
      <c r="D93" s="42">
        <v>11400000</v>
      </c>
      <c r="E93" s="43">
        <v>1667000</v>
      </c>
      <c r="F93" s="44">
        <v>154000</v>
      </c>
      <c r="G93" s="44">
        <v>471000</v>
      </c>
      <c r="H93" s="44">
        <v>147000</v>
      </c>
      <c r="I93" s="44">
        <v>41000</v>
      </c>
      <c r="J93" s="44">
        <v>2480000</v>
      </c>
      <c r="K93" s="45">
        <v>21.754385964912281</v>
      </c>
      <c r="L93" s="43">
        <v>976000</v>
      </c>
      <c r="M93" s="44">
        <v>0</v>
      </c>
      <c r="N93" s="44">
        <v>276000</v>
      </c>
      <c r="O93" s="44">
        <v>0</v>
      </c>
      <c r="P93" s="44">
        <v>0</v>
      </c>
      <c r="Q93" s="46">
        <v>1252000</v>
      </c>
      <c r="R93" s="47"/>
    </row>
    <row r="94" spans="1:18" ht="15.75" customHeight="1" x14ac:dyDescent="0.2">
      <c r="A94" s="21" t="s">
        <v>178</v>
      </c>
      <c r="B94" s="21" t="s">
        <v>179</v>
      </c>
      <c r="C94" s="21" t="s">
        <v>344</v>
      </c>
      <c r="D94" s="42">
        <v>4900000</v>
      </c>
      <c r="E94" s="43">
        <v>763000</v>
      </c>
      <c r="F94" s="44">
        <v>10000</v>
      </c>
      <c r="G94" s="44">
        <v>93000</v>
      </c>
      <c r="H94" s="44">
        <v>1838000</v>
      </c>
      <c r="I94" s="44">
        <v>18000</v>
      </c>
      <c r="J94" s="44">
        <v>2722000</v>
      </c>
      <c r="K94" s="45">
        <v>55.551020408163268</v>
      </c>
      <c r="L94" s="43">
        <v>0</v>
      </c>
      <c r="M94" s="44">
        <v>0</v>
      </c>
      <c r="N94" s="44">
        <v>0</v>
      </c>
      <c r="O94" s="44">
        <v>0</v>
      </c>
      <c r="P94" s="44">
        <v>0</v>
      </c>
      <c r="Q94" s="46">
        <v>0</v>
      </c>
      <c r="R94" s="47"/>
    </row>
    <row r="95" spans="1:18" ht="15.75" customHeight="1" x14ac:dyDescent="0.2">
      <c r="A95" s="21" t="s">
        <v>180</v>
      </c>
      <c r="B95" s="21" t="s">
        <v>181</v>
      </c>
      <c r="C95" s="21" t="s">
        <v>344</v>
      </c>
      <c r="D95" s="42">
        <v>1700000</v>
      </c>
      <c r="E95" s="43">
        <v>9000</v>
      </c>
      <c r="F95" s="44">
        <v>0</v>
      </c>
      <c r="G95" s="44">
        <v>1000</v>
      </c>
      <c r="H95" s="44">
        <v>0</v>
      </c>
      <c r="I95" s="44">
        <v>0</v>
      </c>
      <c r="J95" s="44">
        <v>10000</v>
      </c>
      <c r="K95" s="45">
        <v>0.58823529411764708</v>
      </c>
      <c r="L95" s="43">
        <v>0</v>
      </c>
      <c r="M95" s="44">
        <v>0</v>
      </c>
      <c r="N95" s="44">
        <v>0</v>
      </c>
      <c r="O95" s="44">
        <v>0</v>
      </c>
      <c r="P95" s="44">
        <v>0</v>
      </c>
      <c r="Q95" s="46">
        <v>0</v>
      </c>
      <c r="R95" s="47"/>
    </row>
    <row r="96" spans="1:18" ht="15.75" customHeight="1" x14ac:dyDescent="0.2">
      <c r="A96" s="21" t="s">
        <v>182</v>
      </c>
      <c r="B96" s="21" t="s">
        <v>183</v>
      </c>
      <c r="C96" s="21" t="s">
        <v>17</v>
      </c>
      <c r="D96" s="42">
        <v>2000000</v>
      </c>
      <c r="E96" s="43">
        <v>18000</v>
      </c>
      <c r="F96" s="44">
        <v>5000</v>
      </c>
      <c r="G96" s="44">
        <v>15000</v>
      </c>
      <c r="H96" s="44">
        <v>0</v>
      </c>
      <c r="I96" s="44">
        <v>0</v>
      </c>
      <c r="J96" s="44">
        <v>38000</v>
      </c>
      <c r="K96" s="45">
        <v>1.9</v>
      </c>
      <c r="L96" s="43">
        <v>0</v>
      </c>
      <c r="M96" s="44">
        <v>0</v>
      </c>
      <c r="N96" s="44">
        <v>0</v>
      </c>
      <c r="O96" s="44">
        <v>0</v>
      </c>
      <c r="P96" s="44">
        <v>0</v>
      </c>
      <c r="Q96" s="46">
        <v>0</v>
      </c>
      <c r="R96" s="47"/>
    </row>
    <row r="97" spans="1:18" ht="15.75" customHeight="1" x14ac:dyDescent="0.2">
      <c r="A97" s="21" t="s">
        <v>184</v>
      </c>
      <c r="B97" s="21" t="s">
        <v>185</v>
      </c>
      <c r="C97" s="21" t="s">
        <v>344</v>
      </c>
      <c r="D97" s="42">
        <v>5600000</v>
      </c>
      <c r="E97" s="43">
        <v>985000</v>
      </c>
      <c r="F97" s="44">
        <v>6000</v>
      </c>
      <c r="G97" s="44">
        <v>42000</v>
      </c>
      <c r="H97" s="44">
        <v>114000</v>
      </c>
      <c r="I97" s="44">
        <v>0</v>
      </c>
      <c r="J97" s="44">
        <v>1147000</v>
      </c>
      <c r="K97" s="45">
        <v>20.482142857142858</v>
      </c>
      <c r="L97" s="43">
        <v>50000</v>
      </c>
      <c r="M97" s="44">
        <v>0</v>
      </c>
      <c r="N97" s="44">
        <v>2000</v>
      </c>
      <c r="O97" s="44">
        <v>0</v>
      </c>
      <c r="P97" s="44">
        <v>0</v>
      </c>
      <c r="Q97" s="46">
        <v>52000</v>
      </c>
      <c r="R97" s="47"/>
    </row>
    <row r="98" spans="1:18" ht="15.75" customHeight="1" x14ac:dyDescent="0.2">
      <c r="A98" s="21" t="s">
        <v>186</v>
      </c>
      <c r="B98" s="21" t="s">
        <v>187</v>
      </c>
      <c r="C98" s="21" t="s">
        <v>344</v>
      </c>
      <c r="D98" s="42">
        <v>4000000</v>
      </c>
      <c r="E98" s="43">
        <v>79000</v>
      </c>
      <c r="F98" s="44">
        <v>0</v>
      </c>
      <c r="G98" s="44">
        <v>24000</v>
      </c>
      <c r="H98" s="44">
        <v>15000</v>
      </c>
      <c r="I98" s="44">
        <v>0</v>
      </c>
      <c r="J98" s="44">
        <v>118000</v>
      </c>
      <c r="K98" s="45">
        <v>2.9499999999999997</v>
      </c>
      <c r="L98" s="43">
        <v>0</v>
      </c>
      <c r="M98" s="44">
        <v>0</v>
      </c>
      <c r="N98" s="44">
        <v>0</v>
      </c>
      <c r="O98" s="44">
        <v>0</v>
      </c>
      <c r="P98" s="44">
        <v>0</v>
      </c>
      <c r="Q98" s="46">
        <v>0</v>
      </c>
      <c r="R98" s="47"/>
    </row>
    <row r="99" spans="1:18" ht="15.75" customHeight="1" x14ac:dyDescent="0.2">
      <c r="A99" s="21" t="s">
        <v>188</v>
      </c>
      <c r="B99" s="21" t="s">
        <v>189</v>
      </c>
      <c r="C99" s="21" t="s">
        <v>344</v>
      </c>
      <c r="D99" s="42">
        <v>4900000</v>
      </c>
      <c r="E99" s="43">
        <v>2121000</v>
      </c>
      <c r="F99" s="44">
        <v>89000</v>
      </c>
      <c r="G99" s="44">
        <v>133000</v>
      </c>
      <c r="H99" s="44">
        <v>316000</v>
      </c>
      <c r="I99" s="44">
        <v>0</v>
      </c>
      <c r="J99" s="44">
        <v>2659000</v>
      </c>
      <c r="K99" s="45">
        <v>54.265306122448976</v>
      </c>
      <c r="L99" s="43">
        <v>31000</v>
      </c>
      <c r="M99" s="44">
        <v>0</v>
      </c>
      <c r="N99" s="44">
        <v>2000</v>
      </c>
      <c r="O99" s="44">
        <v>0</v>
      </c>
      <c r="P99" s="44">
        <v>0</v>
      </c>
      <c r="Q99" s="46">
        <v>33000</v>
      </c>
      <c r="R99" s="47"/>
    </row>
    <row r="100" spans="1:18" ht="15.75" customHeight="1" x14ac:dyDescent="0.2">
      <c r="A100" s="21" t="s">
        <v>190</v>
      </c>
      <c r="B100" s="21" t="s">
        <v>191</v>
      </c>
      <c r="C100" s="21" t="s">
        <v>344</v>
      </c>
      <c r="D100" s="42">
        <v>2000000</v>
      </c>
      <c r="E100" s="43">
        <v>38000</v>
      </c>
      <c r="F100" s="44">
        <v>73000</v>
      </c>
      <c r="G100" s="44">
        <v>4000</v>
      </c>
      <c r="H100" s="44">
        <v>0</v>
      </c>
      <c r="I100" s="44">
        <v>0</v>
      </c>
      <c r="J100" s="44">
        <v>115000</v>
      </c>
      <c r="K100" s="45">
        <v>5.75</v>
      </c>
      <c r="L100" s="43">
        <v>0</v>
      </c>
      <c r="M100" s="44">
        <v>0</v>
      </c>
      <c r="N100" s="44">
        <v>0</v>
      </c>
      <c r="O100" s="44">
        <v>0</v>
      </c>
      <c r="P100" s="44">
        <v>0</v>
      </c>
      <c r="Q100" s="46">
        <v>0</v>
      </c>
      <c r="R100" s="47"/>
    </row>
    <row r="101" spans="1:18" ht="15.75" customHeight="1" x14ac:dyDescent="0.2">
      <c r="A101" s="21" t="s">
        <v>192</v>
      </c>
      <c r="B101" s="21" t="s">
        <v>193</v>
      </c>
      <c r="C101" s="21" t="s">
        <v>344</v>
      </c>
      <c r="D101" s="42">
        <v>1700000</v>
      </c>
      <c r="E101" s="43">
        <v>612000</v>
      </c>
      <c r="F101" s="44">
        <v>20000</v>
      </c>
      <c r="G101" s="44">
        <v>42000</v>
      </c>
      <c r="H101" s="44">
        <v>552000</v>
      </c>
      <c r="I101" s="44">
        <v>8000</v>
      </c>
      <c r="J101" s="44">
        <v>1234000</v>
      </c>
      <c r="K101" s="45">
        <v>72.588235294117638</v>
      </c>
      <c r="L101" s="43">
        <v>0</v>
      </c>
      <c r="M101" s="44">
        <v>0</v>
      </c>
      <c r="N101" s="44">
        <v>0</v>
      </c>
      <c r="O101" s="44">
        <v>0</v>
      </c>
      <c r="P101" s="44">
        <v>0</v>
      </c>
      <c r="Q101" s="46">
        <v>0</v>
      </c>
      <c r="R101" s="47"/>
    </row>
    <row r="102" spans="1:18" ht="15.75" customHeight="1" x14ac:dyDescent="0.2">
      <c r="A102" s="21" t="s">
        <v>194</v>
      </c>
      <c r="B102" s="21" t="s">
        <v>195</v>
      </c>
      <c r="C102" s="21" t="s">
        <v>344</v>
      </c>
      <c r="D102" s="42">
        <v>22500000</v>
      </c>
      <c r="E102" s="43">
        <v>1586000</v>
      </c>
      <c r="F102" s="44">
        <v>15978000</v>
      </c>
      <c r="G102" s="44">
        <v>50000</v>
      </c>
      <c r="H102" s="44">
        <v>30000</v>
      </c>
      <c r="I102" s="44">
        <v>0</v>
      </c>
      <c r="J102" s="44">
        <v>17644000</v>
      </c>
      <c r="K102" s="45">
        <v>78.417777777777772</v>
      </c>
      <c r="L102" s="43">
        <v>0</v>
      </c>
      <c r="M102" s="44">
        <v>0</v>
      </c>
      <c r="N102" s="44">
        <v>0</v>
      </c>
      <c r="O102" s="44">
        <v>0</v>
      </c>
      <c r="P102" s="44">
        <v>0</v>
      </c>
      <c r="Q102" s="46">
        <v>0</v>
      </c>
      <c r="R102" s="47"/>
    </row>
    <row r="103" spans="1:18" ht="15.75" customHeight="1" x14ac:dyDescent="0.2">
      <c r="A103" s="21" t="s">
        <v>196</v>
      </c>
      <c r="B103" s="21" t="s">
        <v>197</v>
      </c>
      <c r="C103" s="21" t="s">
        <v>344</v>
      </c>
      <c r="D103" s="42">
        <v>800000</v>
      </c>
      <c r="E103" s="43">
        <v>293000</v>
      </c>
      <c r="F103" s="44">
        <v>0</v>
      </c>
      <c r="G103" s="44">
        <v>1000</v>
      </c>
      <c r="H103" s="44">
        <v>0</v>
      </c>
      <c r="I103" s="44">
        <v>0</v>
      </c>
      <c r="J103" s="44">
        <v>294000</v>
      </c>
      <c r="K103" s="45">
        <v>36.75</v>
      </c>
      <c r="L103" s="43">
        <v>0</v>
      </c>
      <c r="M103" s="44">
        <v>0</v>
      </c>
      <c r="N103" s="44">
        <v>0</v>
      </c>
      <c r="O103" s="44">
        <v>0</v>
      </c>
      <c r="P103" s="44">
        <v>0</v>
      </c>
      <c r="Q103" s="46">
        <v>0</v>
      </c>
      <c r="R103" s="47"/>
    </row>
    <row r="104" spans="1:18" ht="15.75" customHeight="1" x14ac:dyDescent="0.2">
      <c r="A104" s="21" t="s">
        <v>198</v>
      </c>
      <c r="B104" s="21" t="s">
        <v>199</v>
      </c>
      <c r="C104" s="21" t="s">
        <v>344</v>
      </c>
      <c r="D104" s="42">
        <v>900000</v>
      </c>
      <c r="E104" s="43">
        <v>520000</v>
      </c>
      <c r="F104" s="44">
        <v>1000</v>
      </c>
      <c r="G104" s="44">
        <v>14000</v>
      </c>
      <c r="H104" s="44">
        <v>15000</v>
      </c>
      <c r="I104" s="44">
        <v>0</v>
      </c>
      <c r="J104" s="44">
        <v>550000</v>
      </c>
      <c r="K104" s="45">
        <v>61.111111111111114</v>
      </c>
      <c r="L104" s="43">
        <v>0</v>
      </c>
      <c r="M104" s="44">
        <v>0</v>
      </c>
      <c r="N104" s="44">
        <v>0</v>
      </c>
      <c r="O104" s="44">
        <v>0</v>
      </c>
      <c r="P104" s="44">
        <v>0</v>
      </c>
      <c r="Q104" s="46">
        <v>0</v>
      </c>
      <c r="R104" s="47"/>
    </row>
    <row r="105" spans="1:18" ht="15.75" customHeight="1" x14ac:dyDescent="0.2">
      <c r="A105" s="21" t="s">
        <v>200</v>
      </c>
      <c r="B105" s="21" t="s">
        <v>201</v>
      </c>
      <c r="C105" s="21" t="s">
        <v>17</v>
      </c>
      <c r="D105" s="42">
        <v>17200000</v>
      </c>
      <c r="E105" s="43">
        <v>0</v>
      </c>
      <c r="F105" s="44">
        <v>0</v>
      </c>
      <c r="G105" s="44">
        <v>0</v>
      </c>
      <c r="H105" s="44">
        <v>0</v>
      </c>
      <c r="I105" s="44">
        <v>0</v>
      </c>
      <c r="J105" s="44">
        <v>0</v>
      </c>
      <c r="K105" s="45">
        <v>0</v>
      </c>
      <c r="L105" s="43">
        <v>2987000</v>
      </c>
      <c r="M105" s="44">
        <v>48000</v>
      </c>
      <c r="N105" s="44">
        <v>729000</v>
      </c>
      <c r="O105" s="44">
        <v>0</v>
      </c>
      <c r="P105" s="44">
        <v>0</v>
      </c>
      <c r="Q105" s="46">
        <v>3764000</v>
      </c>
      <c r="R105" s="47"/>
    </row>
    <row r="106" spans="1:18" ht="15.75" customHeight="1" x14ac:dyDescent="0.2">
      <c r="A106" s="21" t="s">
        <v>202</v>
      </c>
      <c r="B106" s="21" t="s">
        <v>203</v>
      </c>
      <c r="C106" s="21" t="s">
        <v>17</v>
      </c>
      <c r="D106" s="42">
        <v>8300000.0000000009</v>
      </c>
      <c r="E106" s="43">
        <v>0</v>
      </c>
      <c r="F106" s="44">
        <v>0</v>
      </c>
      <c r="G106" s="44">
        <v>0</v>
      </c>
      <c r="H106" s="44">
        <v>0</v>
      </c>
      <c r="I106" s="44">
        <v>0</v>
      </c>
      <c r="J106" s="44">
        <v>0</v>
      </c>
      <c r="K106" s="45">
        <v>0</v>
      </c>
      <c r="L106" s="43">
        <v>3721000</v>
      </c>
      <c r="M106" s="44">
        <v>27000</v>
      </c>
      <c r="N106" s="44">
        <v>398000</v>
      </c>
      <c r="O106" s="44">
        <v>0</v>
      </c>
      <c r="P106" s="44">
        <v>0</v>
      </c>
      <c r="Q106" s="46">
        <v>4146000</v>
      </c>
      <c r="R106" s="47"/>
    </row>
    <row r="107" spans="1:18" ht="15.75" customHeight="1" x14ac:dyDescent="0.2">
      <c r="A107" s="21" t="s">
        <v>204</v>
      </c>
      <c r="B107" s="21" t="s">
        <v>205</v>
      </c>
      <c r="C107" s="21" t="s">
        <v>17</v>
      </c>
      <c r="D107" s="42">
        <v>1400000</v>
      </c>
      <c r="E107" s="43">
        <v>59000</v>
      </c>
      <c r="F107" s="44">
        <v>0</v>
      </c>
      <c r="G107" s="44">
        <v>1000</v>
      </c>
      <c r="H107" s="44">
        <v>0</v>
      </c>
      <c r="I107" s="44">
        <v>0</v>
      </c>
      <c r="J107" s="44">
        <v>60000</v>
      </c>
      <c r="K107" s="45">
        <v>4.6153846153846159</v>
      </c>
      <c r="L107" s="43">
        <v>1297000</v>
      </c>
      <c r="M107" s="44">
        <v>0</v>
      </c>
      <c r="N107" s="44">
        <v>20000</v>
      </c>
      <c r="O107" s="44">
        <v>0</v>
      </c>
      <c r="P107" s="44">
        <v>0</v>
      </c>
      <c r="Q107" s="46">
        <v>1317000</v>
      </c>
      <c r="R107" s="47"/>
    </row>
    <row r="108" spans="1:18" ht="15.75" customHeight="1" x14ac:dyDescent="0.2">
      <c r="A108" s="21" t="s">
        <v>206</v>
      </c>
      <c r="B108" s="21" t="s">
        <v>207</v>
      </c>
      <c r="C108" s="21" t="s">
        <v>17</v>
      </c>
      <c r="D108" s="42">
        <v>2200000</v>
      </c>
      <c r="E108" s="43">
        <v>1096000</v>
      </c>
      <c r="F108" s="44">
        <v>127000</v>
      </c>
      <c r="G108" s="44">
        <v>62000</v>
      </c>
      <c r="H108" s="44">
        <v>22000</v>
      </c>
      <c r="I108" s="44">
        <v>0</v>
      </c>
      <c r="J108" s="44">
        <v>1307000</v>
      </c>
      <c r="K108" s="45">
        <v>59.409090909090914</v>
      </c>
      <c r="L108" s="43">
        <v>268000</v>
      </c>
      <c r="M108" s="44">
        <v>0</v>
      </c>
      <c r="N108" s="44">
        <v>15000</v>
      </c>
      <c r="O108" s="44">
        <v>0</v>
      </c>
      <c r="P108" s="44">
        <v>0</v>
      </c>
      <c r="Q108" s="46">
        <v>283000</v>
      </c>
      <c r="R108" s="47"/>
    </row>
    <row r="109" spans="1:18" ht="15.75" customHeight="1" x14ac:dyDescent="0.2">
      <c r="A109" s="21" t="s">
        <v>208</v>
      </c>
      <c r="B109" s="21" t="s">
        <v>209</v>
      </c>
      <c r="C109" s="21" t="s">
        <v>17</v>
      </c>
      <c r="D109" s="42">
        <v>10000000</v>
      </c>
      <c r="E109" s="43">
        <v>50000</v>
      </c>
      <c r="F109" s="44">
        <v>0</v>
      </c>
      <c r="G109" s="44">
        <v>16000</v>
      </c>
      <c r="H109" s="44">
        <v>0</v>
      </c>
      <c r="I109" s="44">
        <v>0</v>
      </c>
      <c r="J109" s="44">
        <v>66000</v>
      </c>
      <c r="K109" s="45">
        <v>0.66666666666666674</v>
      </c>
      <c r="L109" s="43">
        <v>832000</v>
      </c>
      <c r="M109" s="44">
        <v>10000</v>
      </c>
      <c r="N109" s="44">
        <v>259000</v>
      </c>
      <c r="O109" s="44">
        <v>0</v>
      </c>
      <c r="P109" s="44">
        <v>0</v>
      </c>
      <c r="Q109" s="46">
        <v>1101000</v>
      </c>
      <c r="R109" s="47"/>
    </row>
    <row r="110" spans="1:18" ht="15.75" customHeight="1" x14ac:dyDescent="0.2">
      <c r="A110" s="21" t="s">
        <v>210</v>
      </c>
      <c r="B110" s="21" t="s">
        <v>211</v>
      </c>
      <c r="C110" s="21" t="s">
        <v>344</v>
      </c>
      <c r="D110" s="42">
        <v>39200000</v>
      </c>
      <c r="E110" s="43">
        <v>11527000</v>
      </c>
      <c r="F110" s="44">
        <v>66000</v>
      </c>
      <c r="G110" s="44">
        <v>218000</v>
      </c>
      <c r="H110" s="44">
        <v>1423000</v>
      </c>
      <c r="I110" s="44">
        <v>19000</v>
      </c>
      <c r="J110" s="44">
        <v>13253000</v>
      </c>
      <c r="K110" s="45">
        <v>33.808673469387756</v>
      </c>
      <c r="L110" s="43">
        <v>107000</v>
      </c>
      <c r="M110" s="44">
        <v>0</v>
      </c>
      <c r="N110" s="44">
        <v>2000</v>
      </c>
      <c r="O110" s="44">
        <v>0</v>
      </c>
      <c r="P110" s="44">
        <v>0</v>
      </c>
      <c r="Q110" s="46">
        <v>109000</v>
      </c>
      <c r="R110" s="47"/>
    </row>
    <row r="111" spans="1:18" ht="15.75" customHeight="1" x14ac:dyDescent="0.2">
      <c r="A111" s="21" t="s">
        <v>212</v>
      </c>
      <c r="B111" s="21" t="s">
        <v>213</v>
      </c>
      <c r="C111" s="21" t="s">
        <v>344</v>
      </c>
      <c r="D111" s="42">
        <v>33500000</v>
      </c>
      <c r="E111" s="43">
        <v>2840000</v>
      </c>
      <c r="F111" s="44">
        <v>5000</v>
      </c>
      <c r="G111" s="44">
        <v>35000</v>
      </c>
      <c r="H111" s="44">
        <v>3915000</v>
      </c>
      <c r="I111" s="44">
        <v>0</v>
      </c>
      <c r="J111" s="44">
        <v>6795000</v>
      </c>
      <c r="K111" s="45">
        <v>20.283582089552237</v>
      </c>
      <c r="L111" s="43">
        <v>301000</v>
      </c>
      <c r="M111" s="44">
        <v>0</v>
      </c>
      <c r="N111" s="44">
        <v>4000</v>
      </c>
      <c r="O111" s="44">
        <v>0</v>
      </c>
      <c r="P111" s="44">
        <v>0</v>
      </c>
      <c r="Q111" s="46">
        <v>305000</v>
      </c>
      <c r="R111" s="47"/>
    </row>
    <row r="112" spans="1:18" ht="15.75" customHeight="1" x14ac:dyDescent="0.2">
      <c r="A112" s="21" t="s">
        <v>214</v>
      </c>
      <c r="B112" s="21" t="s">
        <v>215</v>
      </c>
      <c r="C112" s="21" t="s">
        <v>17</v>
      </c>
      <c r="D112" s="42">
        <v>21700000</v>
      </c>
      <c r="E112" s="43">
        <v>795000</v>
      </c>
      <c r="F112" s="44">
        <v>0</v>
      </c>
      <c r="G112" s="44">
        <v>28000</v>
      </c>
      <c r="H112" s="44">
        <v>15000</v>
      </c>
      <c r="I112" s="44">
        <v>0</v>
      </c>
      <c r="J112" s="44">
        <v>838000</v>
      </c>
      <c r="K112" s="45">
        <v>3.8617511520737327</v>
      </c>
      <c r="L112" s="43">
        <v>5978000</v>
      </c>
      <c r="M112" s="44">
        <v>24000</v>
      </c>
      <c r="N112" s="44">
        <v>213000</v>
      </c>
      <c r="O112" s="44">
        <v>0</v>
      </c>
      <c r="P112" s="44">
        <v>5000</v>
      </c>
      <c r="Q112" s="46">
        <v>6220000</v>
      </c>
      <c r="R112" s="47"/>
    </row>
    <row r="113" spans="1:18" ht="15.75" customHeight="1" x14ac:dyDescent="0.2">
      <c r="A113" s="21" t="s">
        <v>216</v>
      </c>
      <c r="B113" s="21" t="s">
        <v>217</v>
      </c>
      <c r="C113" s="21" t="s">
        <v>17</v>
      </c>
      <c r="D113" s="42">
        <v>49300000</v>
      </c>
      <c r="E113" s="43">
        <v>340000</v>
      </c>
      <c r="F113" s="44">
        <v>0</v>
      </c>
      <c r="G113" s="44">
        <v>16000</v>
      </c>
      <c r="H113" s="44">
        <v>0</v>
      </c>
      <c r="I113" s="44">
        <v>0</v>
      </c>
      <c r="J113" s="44">
        <v>356000</v>
      </c>
      <c r="K113" s="45">
        <v>0.72357723577235766</v>
      </c>
      <c r="L113" s="43">
        <v>1015000</v>
      </c>
      <c r="M113" s="44">
        <v>0</v>
      </c>
      <c r="N113" s="44">
        <v>49000</v>
      </c>
      <c r="O113" s="44">
        <v>0</v>
      </c>
      <c r="P113" s="44">
        <v>0</v>
      </c>
      <c r="Q113" s="46">
        <v>1064000</v>
      </c>
      <c r="R113" s="47"/>
    </row>
    <row r="114" spans="1:18" ht="15.75" customHeight="1" x14ac:dyDescent="0.2">
      <c r="A114" s="21" t="s">
        <v>218</v>
      </c>
      <c r="B114" s="21" t="s">
        <v>219</v>
      </c>
      <c r="C114" s="21" t="s">
        <v>17</v>
      </c>
      <c r="D114" s="42">
        <v>15200000</v>
      </c>
      <c r="E114" s="43">
        <v>252000</v>
      </c>
      <c r="F114" s="44">
        <v>0</v>
      </c>
      <c r="G114" s="44">
        <v>31000</v>
      </c>
      <c r="H114" s="44">
        <v>30000</v>
      </c>
      <c r="I114" s="44">
        <v>23000</v>
      </c>
      <c r="J114" s="44">
        <v>336000</v>
      </c>
      <c r="K114" s="45">
        <v>2.2105263157894735</v>
      </c>
      <c r="L114" s="43">
        <v>2191000</v>
      </c>
      <c r="M114" s="44">
        <v>12000</v>
      </c>
      <c r="N114" s="44">
        <v>267000</v>
      </c>
      <c r="O114" s="44">
        <v>0</v>
      </c>
      <c r="P114" s="44">
        <v>0</v>
      </c>
      <c r="Q114" s="46">
        <v>2470000</v>
      </c>
      <c r="R114" s="47"/>
    </row>
    <row r="115" spans="1:18" ht="15.75" customHeight="1" x14ac:dyDescent="0.2">
      <c r="A115" s="21" t="s">
        <v>220</v>
      </c>
      <c r="B115" s="21" t="s">
        <v>221</v>
      </c>
      <c r="C115" s="21" t="s">
        <v>17</v>
      </c>
      <c r="D115" s="42">
        <v>40700000</v>
      </c>
      <c r="E115" s="43">
        <v>0</v>
      </c>
      <c r="F115" s="44">
        <v>0</v>
      </c>
      <c r="G115" s="44">
        <v>0</v>
      </c>
      <c r="H115" s="44">
        <v>8000</v>
      </c>
      <c r="I115" s="44">
        <v>120000</v>
      </c>
      <c r="J115" s="44">
        <v>128000</v>
      </c>
      <c r="K115" s="45">
        <v>0.31449631449631449</v>
      </c>
      <c r="L115" s="43">
        <v>2459000</v>
      </c>
      <c r="M115" s="44">
        <v>28000</v>
      </c>
      <c r="N115" s="44">
        <v>120000</v>
      </c>
      <c r="O115" s="44">
        <v>0</v>
      </c>
      <c r="P115" s="44">
        <v>0</v>
      </c>
      <c r="Q115" s="46">
        <v>2607000</v>
      </c>
      <c r="R115" s="47"/>
    </row>
    <row r="116" spans="1:18" ht="15.75" customHeight="1" x14ac:dyDescent="0.2">
      <c r="A116" s="21" t="s">
        <v>222</v>
      </c>
      <c r="B116" s="21" t="s">
        <v>223</v>
      </c>
      <c r="C116" s="21" t="s">
        <v>17</v>
      </c>
      <c r="D116" s="42">
        <v>16200000</v>
      </c>
      <c r="E116" s="43">
        <v>0</v>
      </c>
      <c r="F116" s="44">
        <v>0</v>
      </c>
      <c r="G116" s="44">
        <v>0</v>
      </c>
      <c r="H116" s="44">
        <v>0</v>
      </c>
      <c r="I116" s="44">
        <v>0</v>
      </c>
      <c r="J116" s="44">
        <v>0</v>
      </c>
      <c r="K116" s="45">
        <v>0</v>
      </c>
      <c r="L116" s="43">
        <v>3681000</v>
      </c>
      <c r="M116" s="44">
        <v>8000</v>
      </c>
      <c r="N116" s="44">
        <v>127000</v>
      </c>
      <c r="O116" s="44">
        <v>0</v>
      </c>
      <c r="P116" s="44">
        <v>0</v>
      </c>
      <c r="Q116" s="46">
        <v>3816000</v>
      </c>
      <c r="R116" s="47"/>
    </row>
    <row r="117" spans="1:18" s="48" customFormat="1" ht="71.25" customHeight="1" x14ac:dyDescent="0.2">
      <c r="A117" s="21" t="s">
        <v>224</v>
      </c>
      <c r="B117" s="21" t="s">
        <v>225</v>
      </c>
      <c r="C117" s="21" t="s">
        <v>344</v>
      </c>
      <c r="D117" s="42">
        <v>12100000</v>
      </c>
      <c r="E117" s="43">
        <v>4218000</v>
      </c>
      <c r="F117" s="44">
        <v>0</v>
      </c>
      <c r="G117" s="44">
        <v>19000</v>
      </c>
      <c r="H117" s="44">
        <v>169000</v>
      </c>
      <c r="I117" s="44">
        <v>2000</v>
      </c>
      <c r="J117" s="44">
        <v>4408000</v>
      </c>
      <c r="K117" s="45">
        <v>36.429752066115704</v>
      </c>
      <c r="L117" s="43">
        <v>539000</v>
      </c>
      <c r="M117" s="44">
        <v>0</v>
      </c>
      <c r="N117" s="44">
        <v>2000</v>
      </c>
      <c r="O117" s="44">
        <v>0</v>
      </c>
      <c r="P117" s="44">
        <v>0</v>
      </c>
      <c r="Q117" s="46">
        <v>541000</v>
      </c>
      <c r="R117" s="47" t="s">
        <v>366</v>
      </c>
    </row>
    <row r="118" spans="1:18" s="48" customFormat="1" ht="15.75" customHeight="1" x14ac:dyDescent="0.2">
      <c r="A118" s="21" t="s">
        <v>226</v>
      </c>
      <c r="B118" s="21" t="s">
        <v>227</v>
      </c>
      <c r="C118" s="21" t="s">
        <v>344</v>
      </c>
      <c r="D118" s="42">
        <v>1200000</v>
      </c>
      <c r="E118" s="43">
        <v>756000</v>
      </c>
      <c r="F118" s="44">
        <v>33000</v>
      </c>
      <c r="G118" s="44">
        <v>30000</v>
      </c>
      <c r="H118" s="44">
        <v>0</v>
      </c>
      <c r="I118" s="44">
        <v>2000</v>
      </c>
      <c r="J118" s="44">
        <v>821000</v>
      </c>
      <c r="K118" s="45">
        <v>68.416666666666671</v>
      </c>
      <c r="L118" s="43">
        <v>0</v>
      </c>
      <c r="M118" s="44">
        <v>0</v>
      </c>
      <c r="N118" s="44">
        <v>0</v>
      </c>
      <c r="O118" s="44">
        <v>0</v>
      </c>
      <c r="P118" s="44">
        <v>0</v>
      </c>
      <c r="Q118" s="46">
        <v>0</v>
      </c>
      <c r="R118" s="47"/>
    </row>
    <row r="119" spans="1:18" s="48" customFormat="1" ht="15.75" customHeight="1" x14ac:dyDescent="0.2">
      <c r="A119" s="21" t="s">
        <v>228</v>
      </c>
      <c r="B119" s="21" t="s">
        <v>229</v>
      </c>
      <c r="C119" s="21" t="s">
        <v>17</v>
      </c>
      <c r="D119" s="42">
        <v>4700000</v>
      </c>
      <c r="E119" s="43">
        <v>2454000</v>
      </c>
      <c r="F119" s="44">
        <v>156000</v>
      </c>
      <c r="G119" s="44">
        <v>13000</v>
      </c>
      <c r="H119" s="44">
        <v>83000</v>
      </c>
      <c r="I119" s="44">
        <v>23000</v>
      </c>
      <c r="J119" s="44">
        <v>2729000</v>
      </c>
      <c r="K119" s="45">
        <v>58.063829787234042</v>
      </c>
      <c r="L119" s="43">
        <v>390000</v>
      </c>
      <c r="M119" s="44">
        <v>0</v>
      </c>
      <c r="N119" s="44">
        <v>2000</v>
      </c>
      <c r="O119" s="44">
        <v>0</v>
      </c>
      <c r="P119" s="44">
        <v>0</v>
      </c>
      <c r="Q119" s="46">
        <v>392000</v>
      </c>
      <c r="R119" s="47"/>
    </row>
    <row r="120" spans="1:18" s="48" customFormat="1" ht="15.75" customHeight="1" x14ac:dyDescent="0.2">
      <c r="A120" s="21" t="s">
        <v>230</v>
      </c>
      <c r="B120" s="21" t="s">
        <v>231</v>
      </c>
      <c r="C120" s="21" t="s">
        <v>17</v>
      </c>
      <c r="D120" s="42">
        <v>3800000</v>
      </c>
      <c r="E120" s="43">
        <v>1836000</v>
      </c>
      <c r="F120" s="44">
        <v>375000</v>
      </c>
      <c r="G120" s="44">
        <v>61000</v>
      </c>
      <c r="H120" s="44">
        <v>118000</v>
      </c>
      <c r="I120" s="44">
        <v>0</v>
      </c>
      <c r="J120" s="44">
        <v>2390000</v>
      </c>
      <c r="K120" s="45">
        <v>62.89473684210526</v>
      </c>
      <c r="L120" s="43">
        <v>160000</v>
      </c>
      <c r="M120" s="44">
        <v>0</v>
      </c>
      <c r="N120" s="44">
        <v>5000</v>
      </c>
      <c r="O120" s="44">
        <v>0</v>
      </c>
      <c r="P120" s="44">
        <v>0</v>
      </c>
      <c r="Q120" s="46">
        <v>165000</v>
      </c>
      <c r="R120" s="47"/>
    </row>
    <row r="121" spans="1:18" s="48" customFormat="1" ht="15.75" customHeight="1" x14ac:dyDescent="0.2">
      <c r="A121" s="21" t="s">
        <v>232</v>
      </c>
      <c r="B121" s="21" t="s">
        <v>233</v>
      </c>
      <c r="C121" s="21" t="s">
        <v>17</v>
      </c>
      <c r="D121" s="42">
        <v>3700000</v>
      </c>
      <c r="E121" s="43">
        <v>1079000</v>
      </c>
      <c r="F121" s="44">
        <v>136000</v>
      </c>
      <c r="G121" s="44">
        <v>290000</v>
      </c>
      <c r="H121" s="44">
        <v>11000</v>
      </c>
      <c r="I121" s="44">
        <v>0</v>
      </c>
      <c r="J121" s="44">
        <v>1516000</v>
      </c>
      <c r="K121" s="45">
        <v>40.972972972972968</v>
      </c>
      <c r="L121" s="43">
        <v>321000</v>
      </c>
      <c r="M121" s="44">
        <v>0</v>
      </c>
      <c r="N121" s="44">
        <v>86000</v>
      </c>
      <c r="O121" s="44">
        <v>0</v>
      </c>
      <c r="P121" s="44">
        <v>0</v>
      </c>
      <c r="Q121" s="46">
        <v>407000</v>
      </c>
      <c r="R121" s="47"/>
    </row>
    <row r="122" spans="1:18" s="48" customFormat="1" ht="15.75" customHeight="1" x14ac:dyDescent="0.2">
      <c r="A122" s="21" t="s">
        <v>234</v>
      </c>
      <c r="B122" s="21" t="s">
        <v>235</v>
      </c>
      <c r="C122" s="21" t="s">
        <v>17</v>
      </c>
      <c r="D122" s="42">
        <v>6900000</v>
      </c>
      <c r="E122" s="43">
        <v>1506000</v>
      </c>
      <c r="F122" s="44">
        <v>599000</v>
      </c>
      <c r="G122" s="44">
        <v>1305000</v>
      </c>
      <c r="H122" s="44">
        <v>0</v>
      </c>
      <c r="I122" s="44">
        <v>0</v>
      </c>
      <c r="J122" s="44">
        <v>3410000</v>
      </c>
      <c r="K122" s="45">
        <v>49.420289855072461</v>
      </c>
      <c r="L122" s="43">
        <v>426000</v>
      </c>
      <c r="M122" s="44">
        <v>0</v>
      </c>
      <c r="N122" s="44">
        <v>369000</v>
      </c>
      <c r="O122" s="44">
        <v>0</v>
      </c>
      <c r="P122" s="44">
        <v>0</v>
      </c>
      <c r="Q122" s="46">
        <v>795000</v>
      </c>
      <c r="R122" s="47"/>
    </row>
    <row r="123" spans="1:18" s="48" customFormat="1" ht="15.75" customHeight="1" x14ac:dyDescent="0.2">
      <c r="A123" s="21" t="s">
        <v>236</v>
      </c>
      <c r="B123" s="21" t="s">
        <v>237</v>
      </c>
      <c r="C123" s="21" t="s">
        <v>17</v>
      </c>
      <c r="D123" s="42">
        <v>27000000</v>
      </c>
      <c r="E123" s="43">
        <v>21000</v>
      </c>
      <c r="F123" s="44">
        <v>0</v>
      </c>
      <c r="G123" s="44">
        <v>5000</v>
      </c>
      <c r="H123" s="44">
        <v>0</v>
      </c>
      <c r="I123" s="44">
        <v>0</v>
      </c>
      <c r="J123" s="44">
        <v>26000</v>
      </c>
      <c r="K123" s="45">
        <v>9.6296296296296297E-2</v>
      </c>
      <c r="L123" s="43">
        <v>1031000</v>
      </c>
      <c r="M123" s="44">
        <v>0</v>
      </c>
      <c r="N123" s="44">
        <v>237000</v>
      </c>
      <c r="O123" s="44">
        <v>0</v>
      </c>
      <c r="P123" s="44">
        <v>1000</v>
      </c>
      <c r="Q123" s="46">
        <v>1269000</v>
      </c>
      <c r="R123" s="47"/>
    </row>
    <row r="124" spans="1:18" s="48" customFormat="1" ht="15.75" customHeight="1" x14ac:dyDescent="0.2">
      <c r="A124" s="21" t="s">
        <v>238</v>
      </c>
      <c r="B124" s="21" t="s">
        <v>239</v>
      </c>
      <c r="C124" s="21" t="s">
        <v>17</v>
      </c>
      <c r="D124" s="42">
        <v>71500000</v>
      </c>
      <c r="E124" s="43">
        <v>878000</v>
      </c>
      <c r="F124" s="44">
        <v>0</v>
      </c>
      <c r="G124" s="44">
        <v>155000</v>
      </c>
      <c r="H124" s="44">
        <v>62000</v>
      </c>
      <c r="I124" s="44">
        <v>52000</v>
      </c>
      <c r="J124" s="44">
        <v>1147000</v>
      </c>
      <c r="K124" s="45">
        <v>1.6064425770308124</v>
      </c>
      <c r="L124" s="43">
        <v>914000</v>
      </c>
      <c r="M124" s="44">
        <v>3000</v>
      </c>
      <c r="N124" s="44">
        <v>162000</v>
      </c>
      <c r="O124" s="44">
        <v>0</v>
      </c>
      <c r="P124" s="44">
        <v>0</v>
      </c>
      <c r="Q124" s="46">
        <v>1079000</v>
      </c>
      <c r="R124" s="47"/>
    </row>
    <row r="125" spans="1:18" s="48" customFormat="1" ht="15.75" customHeight="1" x14ac:dyDescent="0.2">
      <c r="A125" s="21" t="s">
        <v>240</v>
      </c>
      <c r="B125" s="21" t="s">
        <v>241</v>
      </c>
      <c r="C125" s="21" t="s">
        <v>17</v>
      </c>
      <c r="D125" s="42">
        <v>450800000</v>
      </c>
      <c r="E125" s="43">
        <v>1505000</v>
      </c>
      <c r="F125" s="44">
        <v>0</v>
      </c>
      <c r="G125" s="44">
        <v>290000</v>
      </c>
      <c r="H125" s="44">
        <v>6580000</v>
      </c>
      <c r="I125" s="44">
        <v>416000</v>
      </c>
      <c r="J125" s="44">
        <v>8791000</v>
      </c>
      <c r="K125" s="45">
        <v>1.9518206039076378</v>
      </c>
      <c r="L125" s="43">
        <v>21131000</v>
      </c>
      <c r="M125" s="44">
        <v>855000</v>
      </c>
      <c r="N125" s="44">
        <v>3505000</v>
      </c>
      <c r="O125" s="44">
        <v>0</v>
      </c>
      <c r="P125" s="44">
        <v>466000</v>
      </c>
      <c r="Q125" s="46">
        <v>25957000</v>
      </c>
      <c r="R125" s="47"/>
    </row>
    <row r="126" spans="1:18" s="48" customFormat="1" ht="15.75" customHeight="1" x14ac:dyDescent="0.2">
      <c r="A126" s="21" t="s">
        <v>242</v>
      </c>
      <c r="B126" s="21" t="s">
        <v>243</v>
      </c>
      <c r="C126" s="21" t="s">
        <v>17</v>
      </c>
      <c r="D126" s="42">
        <v>8600000</v>
      </c>
      <c r="E126" s="43">
        <v>2582000</v>
      </c>
      <c r="F126" s="44">
        <v>1318000</v>
      </c>
      <c r="G126" s="44">
        <v>833000</v>
      </c>
      <c r="H126" s="44">
        <v>281000</v>
      </c>
      <c r="I126" s="44">
        <v>54000</v>
      </c>
      <c r="J126" s="44">
        <v>5068000</v>
      </c>
      <c r="K126" s="45">
        <v>57.590909090909093</v>
      </c>
      <c r="L126" s="43">
        <v>2683000</v>
      </c>
      <c r="M126" s="44">
        <v>0</v>
      </c>
      <c r="N126" s="44">
        <v>865000</v>
      </c>
      <c r="O126" s="44">
        <v>0</v>
      </c>
      <c r="P126" s="44">
        <v>1000</v>
      </c>
      <c r="Q126" s="46">
        <v>3549000</v>
      </c>
      <c r="R126" s="47"/>
    </row>
    <row r="127" spans="1:18" s="48" customFormat="1" ht="15.75" customHeight="1" x14ac:dyDescent="0.2">
      <c r="A127" s="21" t="s">
        <v>244</v>
      </c>
      <c r="B127" s="21" t="s">
        <v>245</v>
      </c>
      <c r="C127" s="21" t="s">
        <v>17</v>
      </c>
      <c r="D127" s="42">
        <v>62900000</v>
      </c>
      <c r="E127" s="43">
        <v>5899000</v>
      </c>
      <c r="F127" s="44">
        <v>0</v>
      </c>
      <c r="G127" s="44">
        <v>1617000</v>
      </c>
      <c r="H127" s="44">
        <v>1229000</v>
      </c>
      <c r="I127" s="44">
        <v>200000</v>
      </c>
      <c r="J127" s="44">
        <v>8945000</v>
      </c>
      <c r="K127" s="45">
        <v>14.198412698412699</v>
      </c>
      <c r="L127" s="43">
        <v>4615000</v>
      </c>
      <c r="M127" s="44">
        <v>61000</v>
      </c>
      <c r="N127" s="44">
        <v>1431000</v>
      </c>
      <c r="O127" s="44">
        <v>0</v>
      </c>
      <c r="P127" s="44">
        <v>32000</v>
      </c>
      <c r="Q127" s="46">
        <v>6139000</v>
      </c>
      <c r="R127" s="47"/>
    </row>
    <row r="128" spans="1:18" s="48" customFormat="1" ht="15.75" customHeight="1" x14ac:dyDescent="0.2">
      <c r="A128" s="21" t="s">
        <v>246</v>
      </c>
      <c r="B128" s="21" t="s">
        <v>247</v>
      </c>
      <c r="C128" s="21" t="s">
        <v>17</v>
      </c>
      <c r="D128" s="42">
        <v>523199999.99999994</v>
      </c>
      <c r="E128" s="43">
        <v>6444000</v>
      </c>
      <c r="F128" s="44">
        <v>0</v>
      </c>
      <c r="G128" s="44">
        <v>492000</v>
      </c>
      <c r="H128" s="44">
        <v>6579000</v>
      </c>
      <c r="I128" s="44">
        <v>287000</v>
      </c>
      <c r="J128" s="44">
        <v>13802000</v>
      </c>
      <c r="K128" s="45">
        <v>2.6374928339384676</v>
      </c>
      <c r="L128" s="43">
        <v>91446000</v>
      </c>
      <c r="M128" s="44">
        <v>26000</v>
      </c>
      <c r="N128" s="44">
        <v>1678000</v>
      </c>
      <c r="O128" s="44">
        <v>0</v>
      </c>
      <c r="P128" s="44">
        <v>336000</v>
      </c>
      <c r="Q128" s="46">
        <v>93486000</v>
      </c>
      <c r="R128" s="47"/>
    </row>
    <row r="129" spans="1:18" s="48" customFormat="1" ht="15.75" customHeight="1" x14ac:dyDescent="0.2">
      <c r="A129" s="21" t="s">
        <v>248</v>
      </c>
      <c r="B129" s="21" t="s">
        <v>249</v>
      </c>
      <c r="C129" s="21" t="s">
        <v>17</v>
      </c>
      <c r="D129" s="42">
        <v>127800000.00000001</v>
      </c>
      <c r="E129" s="43">
        <v>11869000</v>
      </c>
      <c r="F129" s="44">
        <v>0</v>
      </c>
      <c r="G129" s="44">
        <v>3266000</v>
      </c>
      <c r="H129" s="44">
        <v>171000</v>
      </c>
      <c r="I129" s="44">
        <v>187000</v>
      </c>
      <c r="J129" s="44">
        <v>15493000</v>
      </c>
      <c r="K129" s="45">
        <v>12.122848200312989</v>
      </c>
      <c r="L129" s="43">
        <v>13157000</v>
      </c>
      <c r="M129" s="44">
        <v>784000</v>
      </c>
      <c r="N129" s="44">
        <v>3603000</v>
      </c>
      <c r="O129" s="44">
        <v>0</v>
      </c>
      <c r="P129" s="44">
        <v>2000</v>
      </c>
      <c r="Q129" s="46">
        <v>17546000</v>
      </c>
      <c r="R129" s="47"/>
    </row>
    <row r="130" spans="1:18" s="48" customFormat="1" ht="15.75" customHeight="1" x14ac:dyDescent="0.2">
      <c r="A130" s="21" t="s">
        <v>250</v>
      </c>
      <c r="B130" s="21" t="s">
        <v>251</v>
      </c>
      <c r="C130" s="21" t="s">
        <v>17</v>
      </c>
      <c r="D130" s="42">
        <v>15700000</v>
      </c>
      <c r="E130" s="43">
        <v>2023000</v>
      </c>
      <c r="F130" s="44">
        <v>0</v>
      </c>
      <c r="G130" s="44">
        <v>377000</v>
      </c>
      <c r="H130" s="44">
        <v>2983000</v>
      </c>
      <c r="I130" s="44">
        <v>26000</v>
      </c>
      <c r="J130" s="44">
        <v>5409000</v>
      </c>
      <c r="K130" s="45">
        <v>34.452229299363054</v>
      </c>
      <c r="L130" s="43">
        <v>2623000</v>
      </c>
      <c r="M130" s="44">
        <v>21000</v>
      </c>
      <c r="N130" s="44">
        <v>489000</v>
      </c>
      <c r="O130" s="44">
        <v>0</v>
      </c>
      <c r="P130" s="44">
        <v>86000</v>
      </c>
      <c r="Q130" s="46">
        <v>3219000</v>
      </c>
      <c r="R130" s="47"/>
    </row>
    <row r="131" spans="1:18" s="48" customFormat="1" ht="15.75" customHeight="1" x14ac:dyDescent="0.2">
      <c r="A131" s="21" t="s">
        <v>252</v>
      </c>
      <c r="B131" s="21" t="s">
        <v>253</v>
      </c>
      <c r="C131" s="21" t="s">
        <v>17</v>
      </c>
      <c r="D131" s="42">
        <v>1400000</v>
      </c>
      <c r="E131" s="43">
        <v>181000</v>
      </c>
      <c r="F131" s="44">
        <v>0</v>
      </c>
      <c r="G131" s="44">
        <v>17000</v>
      </c>
      <c r="H131" s="44">
        <v>2000</v>
      </c>
      <c r="I131" s="44">
        <v>0</v>
      </c>
      <c r="J131" s="44">
        <v>200000</v>
      </c>
      <c r="K131" s="45">
        <v>14.285714285714285</v>
      </c>
      <c r="L131" s="43">
        <v>43000</v>
      </c>
      <c r="M131" s="44">
        <v>79000</v>
      </c>
      <c r="N131" s="44">
        <v>4000</v>
      </c>
      <c r="O131" s="44">
        <v>0</v>
      </c>
      <c r="P131" s="44">
        <v>0</v>
      </c>
      <c r="Q131" s="46">
        <v>126000</v>
      </c>
      <c r="R131" s="47"/>
    </row>
    <row r="132" spans="1:18" s="48" customFormat="1" ht="15.75" customHeight="1" x14ac:dyDescent="0.2">
      <c r="A132" s="21" t="s">
        <v>254</v>
      </c>
      <c r="B132" s="21" t="s">
        <v>255</v>
      </c>
      <c r="C132" s="21" t="s">
        <v>17</v>
      </c>
      <c r="D132" s="42">
        <v>21400000</v>
      </c>
      <c r="E132" s="43">
        <v>0</v>
      </c>
      <c r="F132" s="44">
        <v>0</v>
      </c>
      <c r="G132" s="44">
        <v>0</v>
      </c>
      <c r="H132" s="44">
        <v>0</v>
      </c>
      <c r="I132" s="44">
        <v>0</v>
      </c>
      <c r="J132" s="44">
        <v>0</v>
      </c>
      <c r="K132" s="45">
        <v>0</v>
      </c>
      <c r="L132" s="43">
        <v>1218000</v>
      </c>
      <c r="M132" s="44">
        <v>0</v>
      </c>
      <c r="N132" s="44">
        <v>44000</v>
      </c>
      <c r="O132" s="44">
        <v>0</v>
      </c>
      <c r="P132" s="44">
        <v>0</v>
      </c>
      <c r="Q132" s="46">
        <v>1262000</v>
      </c>
      <c r="R132" s="47"/>
    </row>
    <row r="133" spans="1:18" s="48" customFormat="1" ht="15.75" customHeight="1" x14ac:dyDescent="0.2">
      <c r="A133" s="21" t="s">
        <v>256</v>
      </c>
      <c r="B133" s="21" t="s">
        <v>257</v>
      </c>
      <c r="C133" s="21" t="s">
        <v>344</v>
      </c>
      <c r="D133" s="42">
        <v>4400000</v>
      </c>
      <c r="E133" s="43">
        <v>59000</v>
      </c>
      <c r="F133" s="44">
        <v>1000</v>
      </c>
      <c r="G133" s="44">
        <v>46000</v>
      </c>
      <c r="H133" s="44">
        <v>0</v>
      </c>
      <c r="I133" s="44">
        <v>0</v>
      </c>
      <c r="J133" s="44">
        <v>106000</v>
      </c>
      <c r="K133" s="45">
        <v>2.4090909090909092</v>
      </c>
      <c r="L133" s="43">
        <v>40000</v>
      </c>
      <c r="M133" s="44">
        <v>0</v>
      </c>
      <c r="N133" s="44">
        <v>31000</v>
      </c>
      <c r="O133" s="44">
        <v>0</v>
      </c>
      <c r="P133" s="44">
        <v>0</v>
      </c>
      <c r="Q133" s="46">
        <v>71000</v>
      </c>
      <c r="R133" s="47"/>
    </row>
    <row r="134" spans="1:18" s="48" customFormat="1" ht="15.75" customHeight="1" x14ac:dyDescent="0.2">
      <c r="A134" s="21" t="s">
        <v>258</v>
      </c>
      <c r="B134" s="21" t="s">
        <v>259</v>
      </c>
      <c r="C134" s="21" t="s">
        <v>344</v>
      </c>
      <c r="D134" s="42">
        <v>1800000</v>
      </c>
      <c r="E134" s="43">
        <v>420000</v>
      </c>
      <c r="F134" s="44">
        <v>0</v>
      </c>
      <c r="G134" s="44">
        <v>27000</v>
      </c>
      <c r="H134" s="44">
        <v>8000</v>
      </c>
      <c r="I134" s="44">
        <v>0</v>
      </c>
      <c r="J134" s="44">
        <v>455000</v>
      </c>
      <c r="K134" s="45">
        <v>25.277777777777779</v>
      </c>
      <c r="L134" s="43">
        <v>0</v>
      </c>
      <c r="M134" s="44">
        <v>0</v>
      </c>
      <c r="N134" s="44">
        <v>0</v>
      </c>
      <c r="O134" s="44">
        <v>0</v>
      </c>
      <c r="P134" s="44">
        <v>0</v>
      </c>
      <c r="Q134" s="46">
        <v>0</v>
      </c>
      <c r="R134" s="47"/>
    </row>
    <row r="135" spans="1:18" s="48" customFormat="1" ht="15.75" customHeight="1" x14ac:dyDescent="0.2">
      <c r="A135" s="21" t="s">
        <v>260</v>
      </c>
      <c r="B135" s="21" t="s">
        <v>261</v>
      </c>
      <c r="C135" s="21" t="s">
        <v>17</v>
      </c>
      <c r="D135" s="42">
        <v>15300000</v>
      </c>
      <c r="E135" s="43">
        <v>2608000</v>
      </c>
      <c r="F135" s="44">
        <v>9000</v>
      </c>
      <c r="G135" s="44">
        <v>647000</v>
      </c>
      <c r="H135" s="44">
        <v>73000</v>
      </c>
      <c r="I135" s="44">
        <v>36000</v>
      </c>
      <c r="J135" s="44">
        <v>3373000</v>
      </c>
      <c r="K135" s="45">
        <v>22.045751633986928</v>
      </c>
      <c r="L135" s="43">
        <v>779000</v>
      </c>
      <c r="M135" s="44">
        <v>0</v>
      </c>
      <c r="N135" s="44">
        <v>193000</v>
      </c>
      <c r="O135" s="44">
        <v>0</v>
      </c>
      <c r="P135" s="44">
        <v>0</v>
      </c>
      <c r="Q135" s="46">
        <v>972000</v>
      </c>
      <c r="R135" s="47"/>
    </row>
    <row r="136" spans="1:18" s="48" customFormat="1" ht="15.75" customHeight="1" x14ac:dyDescent="0.2">
      <c r="A136" s="21" t="s">
        <v>262</v>
      </c>
      <c r="B136" s="21" t="s">
        <v>263</v>
      </c>
      <c r="C136" s="21" t="s">
        <v>17</v>
      </c>
      <c r="D136" s="42">
        <v>18900000</v>
      </c>
      <c r="E136" s="43">
        <v>1418000</v>
      </c>
      <c r="F136" s="44">
        <v>2000</v>
      </c>
      <c r="G136" s="44">
        <v>723000</v>
      </c>
      <c r="H136" s="44">
        <v>73000</v>
      </c>
      <c r="I136" s="44">
        <v>23000</v>
      </c>
      <c r="J136" s="44">
        <v>2239000</v>
      </c>
      <c r="K136" s="45">
        <v>11.846560846560847</v>
      </c>
      <c r="L136" s="43">
        <v>391000</v>
      </c>
      <c r="M136" s="44">
        <v>0</v>
      </c>
      <c r="N136" s="44">
        <v>199000</v>
      </c>
      <c r="O136" s="44">
        <v>0</v>
      </c>
      <c r="P136" s="44">
        <v>0</v>
      </c>
      <c r="Q136" s="46">
        <v>590000</v>
      </c>
      <c r="R136" s="47"/>
    </row>
    <row r="138" spans="1:18" ht="15.75" customHeight="1" x14ac:dyDescent="0.2">
      <c r="D138" s="50"/>
    </row>
  </sheetData>
  <autoFilter ref="A6:Q136"/>
  <mergeCells count="8">
    <mergeCell ref="E5:K5"/>
    <mergeCell ref="L5:Q5"/>
    <mergeCell ref="E7:J7"/>
    <mergeCell ref="A6:A7"/>
    <mergeCell ref="B6:B7"/>
    <mergeCell ref="C6:C7"/>
    <mergeCell ref="D6:D7"/>
    <mergeCell ref="L7:Q7"/>
  </mergeCells>
  <pageMargins left="0.70866141732283472" right="0.70866141732283472" top="1.1811023622047245" bottom="0.78740157480314965" header="0.51181102362204722" footer="0.31496062992125984"/>
  <pageSetup paperSize="9" orientation="portrait" r:id="rId1"/>
  <headerFooter>
    <oddHeader>&amp;L&amp;G&amp;CWasserschatz Österreichs&amp;R&amp;A</oddHeader>
    <oddFooter>&amp;L
Grundlagen für nachhaltige Nutzungen des Grundwassers.
&amp;R&amp;Pvon &amp;N</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4" baseType="variant">
      <vt:variant>
        <vt:lpstr>Arbeitsblätter</vt:lpstr>
      </vt:variant>
      <vt:variant>
        <vt:i4>5</vt:i4>
      </vt:variant>
      <vt:variant>
        <vt:lpstr>Benannte Bereiche</vt:lpstr>
      </vt:variant>
      <vt:variant>
        <vt:i4>1</vt:i4>
      </vt:variant>
    </vt:vector>
  </HeadingPairs>
  <TitlesOfParts>
    <vt:vector size="6" baseType="lpstr">
      <vt:lpstr>1- Erläuterungen</vt:lpstr>
      <vt:lpstr>2- Szenarienregionen</vt:lpstr>
      <vt:lpstr>3 - Szenarienergebnisse</vt:lpstr>
      <vt:lpstr>4 - GWK_Ressourcen</vt:lpstr>
      <vt:lpstr>5 - GWK_Wasserbedarf</vt:lpstr>
      <vt:lpstr>'1- Erläuterungen'!Druckbereich</vt:lpstr>
    </vt:vector>
  </TitlesOfParts>
  <Company>Umweltbundesamt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Scheidleder Andreas</dc:creator>
  <cp:lastModifiedBy>Lindinger Helga</cp:lastModifiedBy>
  <cp:lastPrinted>2021-10-01T10:49:28Z</cp:lastPrinted>
  <dcterms:created xsi:type="dcterms:W3CDTF">2021-09-06T10:05:29Z</dcterms:created>
  <dcterms:modified xsi:type="dcterms:W3CDTF">2022-01-21T14:10:52Z</dcterms:modified>
</cp:coreProperties>
</file>